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Force" sheetId="1" state="visible" r:id="rId1"/>
    <sheet xmlns:r="http://schemas.openxmlformats.org/officeDocument/2006/relationships" name="Données Calisthénie" sheetId="2" state="visible" r:id="rId2"/>
    <sheet xmlns:r="http://schemas.openxmlformats.org/officeDocument/2006/relationships" name="Suivi Charge RPE" sheetId="3" state="visible" r:id="rId3"/>
    <sheet xmlns:r="http://schemas.openxmlformats.org/officeDocument/2006/relationships" name="RPE_Table_1RM" sheetId="4" state="visible" r:id="rId4"/>
    <sheet xmlns:r="http://schemas.openxmlformats.org/officeDocument/2006/relationships" name="RPE_Jour_Reps" sheetId="5" state="visible" r:id="rId5"/>
    <sheet xmlns:r="http://schemas.openxmlformats.org/officeDocument/2006/relationships" name="PR Automatiques" sheetId="6" state="visible" r:id="rId6"/>
    <sheet xmlns:r="http://schemas.openxmlformats.org/officeDocument/2006/relationships" name="Calculs &amp; Reco" sheetId="7" state="visible" r:id="rId7"/>
    <sheet xmlns:r="http://schemas.openxmlformats.org/officeDocument/2006/relationships" name="Fatigue &amp; Readiness" sheetId="8" state="visible" r:id="rId8"/>
    <sheet xmlns:r="http://schemas.openxmlformats.org/officeDocument/2006/relationships" name="Lifestyle" sheetId="9" state="visible" r:id="rId9"/>
    <sheet xmlns:r="http://schemas.openxmlformats.org/officeDocument/2006/relationships" name="Score Athlète Hybride" sheetId="10" state="visible" r:id="rId10"/>
    <sheet xmlns:r="http://schemas.openxmlformats.org/officeDocument/2006/relationships" name="Auto-Séance" sheetId="11" state="visible" r:id="rId11"/>
    <sheet xmlns:r="http://schemas.openxmlformats.org/officeDocument/2006/relationships" name="MicroCycle Peak" sheetId="12" state="visible" r:id="rId12"/>
    <sheet xmlns:r="http://schemas.openxmlformats.org/officeDocument/2006/relationships" name="Plan Annuel" sheetId="13" state="visible" r:id="rId13"/>
    <sheet xmlns:r="http://schemas.openxmlformats.org/officeDocument/2006/relationships" name="Mésocycle-Type" sheetId="14" state="visible" r:id="rId14"/>
    <sheet xmlns:r="http://schemas.openxmlformats.org/officeDocument/2006/relationships" name="Auto-Mesocycles" sheetId="15" state="visible" r:id="rId15"/>
    <sheet xmlns:r="http://schemas.openxmlformats.org/officeDocument/2006/relationships" name="Peak Planner" sheetId="16" state="visible" r:id="rId16"/>
    <sheet xmlns:r="http://schemas.openxmlformats.org/officeDocument/2006/relationships" name="Plan Jour Auto" sheetId="17" state="visible" r:id="rId17"/>
    <sheet xmlns:r="http://schemas.openxmlformats.org/officeDocument/2006/relationships" name="Prévisions &amp; Evolution" sheetId="18" state="visible" r:id="rId18"/>
    <sheet xmlns:r="http://schemas.openxmlformats.org/officeDocument/2006/relationships" name="Dashboard Global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Séance</t>
        </is>
      </c>
      <c r="B1" t="inlineStr">
        <is>
          <t>Objectif (Force/Power/Hypertrophy/Neural)</t>
        </is>
      </c>
      <c r="C1" t="inlineStr">
        <is>
          <t>Squat (kg)</t>
        </is>
      </c>
      <c r="D1" t="inlineStr">
        <is>
          <t>Squat (reps)</t>
        </is>
      </c>
      <c r="E1" t="inlineStr">
        <is>
          <t>Squat 1RM Est</t>
        </is>
      </c>
      <c r="F1" t="inlineStr">
        <is>
          <t>Front Squat (kg)</t>
        </is>
      </c>
      <c r="G1" t="inlineStr">
        <is>
          <t>Front Squat (reps)</t>
        </is>
      </c>
      <c r="H1" t="inlineStr">
        <is>
          <t>Bench (kg)</t>
        </is>
      </c>
      <c r="I1" t="inlineStr">
        <is>
          <t>Bench (reps)</t>
        </is>
      </c>
      <c r="J1" t="inlineStr">
        <is>
          <t>Bench 1RM Est</t>
        </is>
      </c>
      <c r="K1" t="inlineStr">
        <is>
          <t>Deadlift (kg)</t>
        </is>
      </c>
      <c r="L1" t="inlineStr">
        <is>
          <t>Deadlift (reps)</t>
        </is>
      </c>
      <c r="M1" t="inlineStr">
        <is>
          <t>Deadlift 1RM Est</t>
        </is>
      </c>
      <c r="N1" t="inlineStr">
        <is>
          <t>OHP (kg)</t>
        </is>
      </c>
      <c r="O1" t="inlineStr">
        <is>
          <t>OHP (reps)</t>
        </is>
      </c>
      <c r="P1" t="inlineStr">
        <is>
          <t>Rowing (kg)</t>
        </is>
      </c>
      <c r="Q1" t="inlineStr">
        <is>
          <t>Rowing (reps)</t>
        </is>
      </c>
      <c r="R1" t="inlineStr">
        <is>
          <t>Traction Lestée (kg)</t>
        </is>
      </c>
      <c r="S1" t="inlineStr">
        <is>
          <t>Traction Lestée (reps)</t>
        </is>
      </c>
      <c r="T1" t="inlineStr">
        <is>
          <t>Session Volume (kg·reps)</t>
        </is>
      </c>
      <c r="U1" t="inlineStr">
        <is>
          <t>Session Tonnage (kg)</t>
        </is>
      </c>
      <c r="V1" t="inlineStr">
        <is>
          <t>RPE Moyen (à remplir)</t>
        </is>
      </c>
    </row>
    <row r="2">
      <c r="A2" t="n">
        <v>1</v>
      </c>
      <c r="B2" t="inlineStr"/>
      <c r="C2" t="inlineStr"/>
      <c r="D2" t="inlineStr"/>
      <c r="E2">
        <f>IF(AND(C2&gt;0,D2&gt;0),C2*(1+D2/30),"")</f>
        <v/>
      </c>
      <c r="F2" t="inlineStr"/>
      <c r="G2" t="inlineStr"/>
      <c r="H2" t="inlineStr"/>
      <c r="I2" t="inlineStr"/>
      <c r="J2">
        <f>IF(AND(H2&gt;0,I2&gt;0),H2*(1+I2/30),"")</f>
        <v/>
      </c>
      <c r="K2" t="inlineStr"/>
      <c r="L2" t="inlineStr"/>
      <c r="M2">
        <f>IF(AND(K2&gt;0,L2&gt;0),K2*(1+L2/30),"")</f>
        <v/>
      </c>
      <c r="N2" t="inlineStr"/>
      <c r="O2" t="inlineStr"/>
      <c r="P2" t="inlineStr"/>
      <c r="Q2" t="inlineStr"/>
      <c r="R2" t="inlineStr"/>
      <c r="S2" t="inlineStr"/>
      <c r="T2">
        <f>IF(AND(C2&gt;0,D2&gt;0),C2*D2,0)+IF(AND(F2&gt;0,G2&gt;0),F2*G2,0)+IF(AND(H2&gt;0,I2&gt;0),H2*I2,0)+IF(AND(K2&gt;0,L2&gt;0),K2*L2,0)+IF(AND(N2&gt;0,O2&gt;0),N2*O2,0)+IF(AND(P2&gt;0,Q2&gt;0),P2*Q2,0)+IF(AND(R2&gt;0,S2&gt;0),R2*S2,0)</f>
        <v/>
      </c>
      <c r="U2">
        <f>T2</f>
        <v/>
      </c>
      <c r="V2" t="inlineStr"/>
    </row>
    <row r="3">
      <c r="A3" t="n">
        <v>2</v>
      </c>
      <c r="B3" t="inlineStr"/>
      <c r="C3" t="inlineStr"/>
      <c r="D3" t="inlineStr"/>
      <c r="E3">
        <f>IF(AND(C3&gt;0,D3&gt;0),C3*(1+D3/30),"")</f>
        <v/>
      </c>
      <c r="F3" t="inlineStr"/>
      <c r="G3" t="inlineStr"/>
      <c r="H3" t="inlineStr"/>
      <c r="I3" t="inlineStr"/>
      <c r="J3">
        <f>IF(AND(H3&gt;0,I3&gt;0),H3*(1+I3/30),"")</f>
        <v/>
      </c>
      <c r="K3" t="inlineStr"/>
      <c r="L3" t="inlineStr"/>
      <c r="M3">
        <f>IF(AND(K3&gt;0,L3&gt;0),K3*(1+L3/30),"")</f>
        <v/>
      </c>
      <c r="N3" t="inlineStr"/>
      <c r="O3" t="inlineStr"/>
      <c r="P3" t="inlineStr"/>
      <c r="Q3" t="inlineStr"/>
      <c r="R3" t="inlineStr"/>
      <c r="S3" t="inlineStr"/>
      <c r="T3">
        <f>IF(AND(C3&gt;0,D3&gt;0),C3*D3,0)+IF(AND(F3&gt;0,G3&gt;0),F3*G3,0)+IF(AND(H3&gt;0,I3&gt;0),H3*I3,0)+IF(AND(K3&gt;0,L3&gt;0),K3*L3,0)+IF(AND(N3&gt;0,O3&gt;0),N3*O3,0)+IF(AND(P3&gt;0,Q3&gt;0),P3*Q3,0)+IF(AND(R3&gt;0,S3&gt;0),R3*S3,0)</f>
        <v/>
      </c>
      <c r="U3">
        <f>T3</f>
        <v/>
      </c>
      <c r="V3" t="inlineStr"/>
    </row>
    <row r="4">
      <c r="A4" t="n">
        <v>3</v>
      </c>
      <c r="B4" t="inlineStr"/>
      <c r="C4" t="inlineStr"/>
      <c r="D4" t="inlineStr"/>
      <c r="E4">
        <f>IF(AND(C4&gt;0,D4&gt;0),C4*(1+D4/30),"")</f>
        <v/>
      </c>
      <c r="F4" t="inlineStr"/>
      <c r="G4" t="inlineStr"/>
      <c r="H4" t="inlineStr"/>
      <c r="I4" t="inlineStr"/>
      <c r="J4">
        <f>IF(AND(H4&gt;0,I4&gt;0),H4*(1+I4/30),"")</f>
        <v/>
      </c>
      <c r="K4" t="inlineStr"/>
      <c r="L4" t="inlineStr"/>
      <c r="M4">
        <f>IF(AND(K4&gt;0,L4&gt;0),K4*(1+L4/30),"")</f>
        <v/>
      </c>
      <c r="N4" t="inlineStr"/>
      <c r="O4" t="inlineStr"/>
      <c r="P4" t="inlineStr"/>
      <c r="Q4" t="inlineStr"/>
      <c r="R4" t="inlineStr"/>
      <c r="S4" t="inlineStr"/>
      <c r="T4">
        <f>IF(AND(C4&gt;0,D4&gt;0),C4*D4,0)+IF(AND(F4&gt;0,G4&gt;0),F4*G4,0)+IF(AND(H4&gt;0,I4&gt;0),H4*I4,0)+IF(AND(K4&gt;0,L4&gt;0),K4*L4,0)+IF(AND(N4&gt;0,O4&gt;0),N4*O4,0)+IF(AND(P4&gt;0,Q4&gt;0),P4*Q4,0)+IF(AND(R4&gt;0,S4&gt;0),R4*S4,0)</f>
        <v/>
      </c>
      <c r="U4">
        <f>T4</f>
        <v/>
      </c>
      <c r="V4" t="inlineStr"/>
    </row>
    <row r="5">
      <c r="A5" t="n">
        <v>4</v>
      </c>
      <c r="B5" t="inlineStr"/>
      <c r="C5" t="inlineStr"/>
      <c r="D5" t="inlineStr"/>
      <c r="E5">
        <f>IF(AND(C5&gt;0,D5&gt;0),C5*(1+D5/30),"")</f>
        <v/>
      </c>
      <c r="F5" t="inlineStr"/>
      <c r="G5" t="inlineStr"/>
      <c r="H5" t="inlineStr"/>
      <c r="I5" t="inlineStr"/>
      <c r="J5">
        <f>IF(AND(H5&gt;0,I5&gt;0),H5*(1+I5/30),"")</f>
        <v/>
      </c>
      <c r="K5" t="inlineStr"/>
      <c r="L5" t="inlineStr"/>
      <c r="M5">
        <f>IF(AND(K5&gt;0,L5&gt;0),K5*(1+L5/30),"")</f>
        <v/>
      </c>
      <c r="N5" t="inlineStr"/>
      <c r="O5" t="inlineStr"/>
      <c r="P5" t="inlineStr"/>
      <c r="Q5" t="inlineStr"/>
      <c r="R5" t="inlineStr"/>
      <c r="S5" t="inlineStr"/>
      <c r="T5">
        <f>IF(AND(C5&gt;0,D5&gt;0),C5*D5,0)+IF(AND(F5&gt;0,G5&gt;0),F5*G5,0)+IF(AND(H5&gt;0,I5&gt;0),H5*I5,0)+IF(AND(K5&gt;0,L5&gt;0),K5*L5,0)+IF(AND(N5&gt;0,O5&gt;0),N5*O5,0)+IF(AND(P5&gt;0,Q5&gt;0),P5*Q5,0)+IF(AND(R5&gt;0,S5&gt;0),R5*S5,0)</f>
        <v/>
      </c>
      <c r="U5">
        <f>T5</f>
        <v/>
      </c>
      <c r="V5" t="inlineStr"/>
    </row>
    <row r="6">
      <c r="A6" t="n">
        <v>5</v>
      </c>
      <c r="B6" t="inlineStr"/>
      <c r="C6" t="inlineStr"/>
      <c r="D6" t="inlineStr"/>
      <c r="E6">
        <f>IF(AND(C6&gt;0,D6&gt;0),C6*(1+D6/30),"")</f>
        <v/>
      </c>
      <c r="F6" t="inlineStr"/>
      <c r="G6" t="inlineStr"/>
      <c r="H6" t="inlineStr"/>
      <c r="I6" t="inlineStr"/>
      <c r="J6">
        <f>IF(AND(H6&gt;0,I6&gt;0),H6*(1+I6/30),"")</f>
        <v/>
      </c>
      <c r="K6" t="inlineStr"/>
      <c r="L6" t="inlineStr"/>
      <c r="M6">
        <f>IF(AND(K6&gt;0,L6&gt;0),K6*(1+L6/30),"")</f>
        <v/>
      </c>
      <c r="N6" t="inlineStr"/>
      <c r="O6" t="inlineStr"/>
      <c r="P6" t="inlineStr"/>
      <c r="Q6" t="inlineStr"/>
      <c r="R6" t="inlineStr"/>
      <c r="S6" t="inlineStr"/>
      <c r="T6">
        <f>IF(AND(C6&gt;0,D6&gt;0),C6*D6,0)+IF(AND(F6&gt;0,G6&gt;0),F6*G6,0)+IF(AND(H6&gt;0,I6&gt;0),H6*I6,0)+IF(AND(K6&gt;0,L6&gt;0),K6*L6,0)+IF(AND(N6&gt;0,O6&gt;0),N6*O6,0)+IF(AND(P6&gt;0,Q6&gt;0),P6*Q6,0)+IF(AND(R6&gt;0,S6&gt;0),R6*S6,0)</f>
        <v/>
      </c>
      <c r="U6">
        <f>T6</f>
        <v/>
      </c>
      <c r="V6" t="inlineStr"/>
    </row>
    <row r="7">
      <c r="A7" t="n">
        <v>6</v>
      </c>
      <c r="B7" t="inlineStr"/>
      <c r="C7" t="inlineStr"/>
      <c r="D7" t="inlineStr"/>
      <c r="E7">
        <f>IF(AND(C7&gt;0,D7&gt;0),C7*(1+D7/30),"")</f>
        <v/>
      </c>
      <c r="F7" t="inlineStr"/>
      <c r="G7" t="inlineStr"/>
      <c r="H7" t="inlineStr"/>
      <c r="I7" t="inlineStr"/>
      <c r="J7">
        <f>IF(AND(H7&gt;0,I7&gt;0),H7*(1+I7/30),"")</f>
        <v/>
      </c>
      <c r="K7" t="inlineStr"/>
      <c r="L7" t="inlineStr"/>
      <c r="M7">
        <f>IF(AND(K7&gt;0,L7&gt;0),K7*(1+L7/30),"")</f>
        <v/>
      </c>
      <c r="N7" t="inlineStr"/>
      <c r="O7" t="inlineStr"/>
      <c r="P7" t="inlineStr"/>
      <c r="Q7" t="inlineStr"/>
      <c r="R7" t="inlineStr"/>
      <c r="S7" t="inlineStr"/>
      <c r="T7">
        <f>IF(AND(C7&gt;0,D7&gt;0),C7*D7,0)+IF(AND(F7&gt;0,G7&gt;0),F7*G7,0)+IF(AND(H7&gt;0,I7&gt;0),H7*I7,0)+IF(AND(K7&gt;0,L7&gt;0),K7*L7,0)+IF(AND(N7&gt;0,O7&gt;0),N7*O7,0)+IF(AND(P7&gt;0,Q7&gt;0),P7*Q7,0)+IF(AND(R7&gt;0,S7&gt;0),R7*S7,0)</f>
        <v/>
      </c>
      <c r="U7">
        <f>T7</f>
        <v/>
      </c>
      <c r="V7" t="inlineStr"/>
    </row>
    <row r="8">
      <c r="A8" t="n">
        <v>7</v>
      </c>
      <c r="B8" t="inlineStr"/>
      <c r="C8" t="inlineStr"/>
      <c r="D8" t="inlineStr"/>
      <c r="E8">
        <f>IF(AND(C8&gt;0,D8&gt;0),C8*(1+D8/30),"")</f>
        <v/>
      </c>
      <c r="F8" t="inlineStr"/>
      <c r="G8" t="inlineStr"/>
      <c r="H8" t="inlineStr"/>
      <c r="I8" t="inlineStr"/>
      <c r="J8">
        <f>IF(AND(H8&gt;0,I8&gt;0),H8*(1+I8/30),"")</f>
        <v/>
      </c>
      <c r="K8" t="inlineStr"/>
      <c r="L8" t="inlineStr"/>
      <c r="M8">
        <f>IF(AND(K8&gt;0,L8&gt;0),K8*(1+L8/30),"")</f>
        <v/>
      </c>
      <c r="N8" t="inlineStr"/>
      <c r="O8" t="inlineStr"/>
      <c r="P8" t="inlineStr"/>
      <c r="Q8" t="inlineStr"/>
      <c r="R8" t="inlineStr"/>
      <c r="S8" t="inlineStr"/>
      <c r="T8">
        <f>IF(AND(C8&gt;0,D8&gt;0),C8*D8,0)+IF(AND(F8&gt;0,G8&gt;0),F8*G8,0)+IF(AND(H8&gt;0,I8&gt;0),H8*I8,0)+IF(AND(K8&gt;0,L8&gt;0),K8*L8,0)+IF(AND(N8&gt;0,O8&gt;0),N8*O8,0)+IF(AND(P8&gt;0,Q8&gt;0),P8*Q8,0)+IF(AND(R8&gt;0,S8&gt;0),R8*S8,0)</f>
        <v/>
      </c>
      <c r="U8">
        <f>T8</f>
        <v/>
      </c>
      <c r="V8" t="inlineStr"/>
    </row>
    <row r="9">
      <c r="A9" t="n">
        <v>8</v>
      </c>
      <c r="B9" t="inlineStr"/>
      <c r="C9" t="inlineStr"/>
      <c r="D9" t="inlineStr"/>
      <c r="E9">
        <f>IF(AND(C9&gt;0,D9&gt;0),C9*(1+D9/30),"")</f>
        <v/>
      </c>
      <c r="F9" t="inlineStr"/>
      <c r="G9" t="inlineStr"/>
      <c r="H9" t="inlineStr"/>
      <c r="I9" t="inlineStr"/>
      <c r="J9">
        <f>IF(AND(H9&gt;0,I9&gt;0),H9*(1+I9/30),"")</f>
        <v/>
      </c>
      <c r="K9" t="inlineStr"/>
      <c r="L9" t="inlineStr"/>
      <c r="M9">
        <f>IF(AND(K9&gt;0,L9&gt;0),K9*(1+L9/30),"")</f>
        <v/>
      </c>
      <c r="N9" t="inlineStr"/>
      <c r="O9" t="inlineStr"/>
      <c r="P9" t="inlineStr"/>
      <c r="Q9" t="inlineStr"/>
      <c r="R9" t="inlineStr"/>
      <c r="S9" t="inlineStr"/>
      <c r="T9">
        <f>IF(AND(C9&gt;0,D9&gt;0),C9*D9,0)+IF(AND(F9&gt;0,G9&gt;0),F9*G9,0)+IF(AND(H9&gt;0,I9&gt;0),H9*I9,0)+IF(AND(K9&gt;0,L9&gt;0),K9*L9,0)+IF(AND(N9&gt;0,O9&gt;0),N9*O9,0)+IF(AND(P9&gt;0,Q9&gt;0),P9*Q9,0)+IF(AND(R9&gt;0,S9&gt;0),R9*S9,0)</f>
        <v/>
      </c>
      <c r="U9">
        <f>T9</f>
        <v/>
      </c>
      <c r="V9" t="inlineStr"/>
    </row>
    <row r="10">
      <c r="A10" t="n">
        <v>9</v>
      </c>
      <c r="B10" t="inlineStr"/>
      <c r="C10" t="inlineStr"/>
      <c r="D10" t="inlineStr"/>
      <c r="E10">
        <f>IF(AND(C10&gt;0,D10&gt;0),C10*(1+D10/30),"")</f>
        <v/>
      </c>
      <c r="F10" t="inlineStr"/>
      <c r="G10" t="inlineStr"/>
      <c r="H10" t="inlineStr"/>
      <c r="I10" t="inlineStr"/>
      <c r="J10">
        <f>IF(AND(H10&gt;0,I10&gt;0),H10*(1+I10/30),"")</f>
        <v/>
      </c>
      <c r="K10" t="inlineStr"/>
      <c r="L10" t="inlineStr"/>
      <c r="M10">
        <f>IF(AND(K10&gt;0,L10&gt;0),K10*(1+L10/30),"")</f>
        <v/>
      </c>
      <c r="N10" t="inlineStr"/>
      <c r="O10" t="inlineStr"/>
      <c r="P10" t="inlineStr"/>
      <c r="Q10" t="inlineStr"/>
      <c r="R10" t="inlineStr"/>
      <c r="S10" t="inlineStr"/>
      <c r="T10">
        <f>IF(AND(C10&gt;0,D10&gt;0),C10*D10,0)+IF(AND(F10&gt;0,G10&gt;0),F10*G10,0)+IF(AND(H10&gt;0,I10&gt;0),H10*I10,0)+IF(AND(K10&gt;0,L10&gt;0),K10*L10,0)+IF(AND(N10&gt;0,O10&gt;0),N10*O10,0)+IF(AND(P10&gt;0,Q10&gt;0),P10*Q10,0)+IF(AND(R10&gt;0,S10&gt;0),R10*S10,0)</f>
        <v/>
      </c>
      <c r="U10">
        <f>T10</f>
        <v/>
      </c>
      <c r="V10" t="inlineStr"/>
    </row>
    <row r="11">
      <c r="A11" t="n">
        <v>10</v>
      </c>
      <c r="B11" t="inlineStr"/>
      <c r="C11" t="inlineStr"/>
      <c r="D11" t="inlineStr"/>
      <c r="E11">
        <f>IF(AND(C11&gt;0,D11&gt;0),C11*(1+D11/30),"")</f>
        <v/>
      </c>
      <c r="F11" t="inlineStr"/>
      <c r="G11" t="inlineStr"/>
      <c r="H11" t="inlineStr"/>
      <c r="I11" t="inlineStr"/>
      <c r="J11">
        <f>IF(AND(H11&gt;0,I11&gt;0),H11*(1+I11/30),"")</f>
        <v/>
      </c>
      <c r="K11" t="inlineStr"/>
      <c r="L11" t="inlineStr"/>
      <c r="M11">
        <f>IF(AND(K11&gt;0,L11&gt;0),K11*(1+L11/30),"")</f>
        <v/>
      </c>
      <c r="N11" t="inlineStr"/>
      <c r="O11" t="inlineStr"/>
      <c r="P11" t="inlineStr"/>
      <c r="Q11" t="inlineStr"/>
      <c r="R11" t="inlineStr"/>
      <c r="S11" t="inlineStr"/>
      <c r="T11">
        <f>IF(AND(C11&gt;0,D11&gt;0),C11*D11,0)+IF(AND(F11&gt;0,G11&gt;0),F11*G11,0)+IF(AND(H11&gt;0,I11&gt;0),H11*I11,0)+IF(AND(K11&gt;0,L11&gt;0),K11*L11,0)+IF(AND(N11&gt;0,O11&gt;0),N11*O11,0)+IF(AND(P11&gt;0,Q11&gt;0),P11*Q11,0)+IF(AND(R11&gt;0,S11&gt;0),R11*S11,0)</f>
        <v/>
      </c>
      <c r="U11">
        <f>T11</f>
        <v/>
      </c>
      <c r="V11" t="inlineStr"/>
    </row>
    <row r="12">
      <c r="A12" t="n">
        <v>11</v>
      </c>
      <c r="B12" t="inlineStr"/>
      <c r="C12" t="inlineStr"/>
      <c r="D12" t="inlineStr"/>
      <c r="E12">
        <f>IF(AND(C12&gt;0,D12&gt;0),C12*(1+D12/30),"")</f>
        <v/>
      </c>
      <c r="F12" t="inlineStr"/>
      <c r="G12" t="inlineStr"/>
      <c r="H12" t="inlineStr"/>
      <c r="I12" t="inlineStr"/>
      <c r="J12">
        <f>IF(AND(H12&gt;0,I12&gt;0),H12*(1+I12/30),"")</f>
        <v/>
      </c>
      <c r="K12" t="inlineStr"/>
      <c r="L12" t="inlineStr"/>
      <c r="M12">
        <f>IF(AND(K12&gt;0,L12&gt;0),K12*(1+L12/30),"")</f>
        <v/>
      </c>
      <c r="N12" t="inlineStr"/>
      <c r="O12" t="inlineStr"/>
      <c r="P12" t="inlineStr"/>
      <c r="Q12" t="inlineStr"/>
      <c r="R12" t="inlineStr"/>
      <c r="S12" t="inlineStr"/>
      <c r="T12">
        <f>IF(AND(C12&gt;0,D12&gt;0),C12*D12,0)+IF(AND(F12&gt;0,G12&gt;0),F12*G12,0)+IF(AND(H12&gt;0,I12&gt;0),H12*I12,0)+IF(AND(K12&gt;0,L12&gt;0),K12*L12,0)+IF(AND(N12&gt;0,O12&gt;0),N12*O12,0)+IF(AND(P12&gt;0,Q12&gt;0),P12*Q12,0)+IF(AND(R12&gt;0,S12&gt;0),R12*S12,0)</f>
        <v/>
      </c>
      <c r="U12">
        <f>T12</f>
        <v/>
      </c>
      <c r="V12" t="inlineStr"/>
    </row>
    <row r="13">
      <c r="A13" t="n">
        <v>12</v>
      </c>
      <c r="B13" t="inlineStr"/>
      <c r="C13" t="inlineStr"/>
      <c r="D13" t="inlineStr"/>
      <c r="E13">
        <f>IF(AND(C13&gt;0,D13&gt;0),C13*(1+D13/30),"")</f>
        <v/>
      </c>
      <c r="F13" t="inlineStr"/>
      <c r="G13" t="inlineStr"/>
      <c r="H13" t="inlineStr"/>
      <c r="I13" t="inlineStr"/>
      <c r="J13">
        <f>IF(AND(H13&gt;0,I13&gt;0),H13*(1+I13/30),"")</f>
        <v/>
      </c>
      <c r="K13" t="inlineStr"/>
      <c r="L13" t="inlineStr"/>
      <c r="M13">
        <f>IF(AND(K13&gt;0,L13&gt;0),K13*(1+L13/30),"")</f>
        <v/>
      </c>
      <c r="N13" t="inlineStr"/>
      <c r="O13" t="inlineStr"/>
      <c r="P13" t="inlineStr"/>
      <c r="Q13" t="inlineStr"/>
      <c r="R13" t="inlineStr"/>
      <c r="S13" t="inlineStr"/>
      <c r="T13">
        <f>IF(AND(C13&gt;0,D13&gt;0),C13*D13,0)+IF(AND(F13&gt;0,G13&gt;0),F13*G13,0)+IF(AND(H13&gt;0,I13&gt;0),H13*I13,0)+IF(AND(K13&gt;0,L13&gt;0),K13*L13,0)+IF(AND(N13&gt;0,O13&gt;0),N13*O13,0)+IF(AND(P13&gt;0,Q13&gt;0),P13*Q13,0)+IF(AND(R13&gt;0,S13&gt;0),R13*S13,0)</f>
        <v/>
      </c>
      <c r="U13">
        <f>T13</f>
        <v/>
      </c>
      <c r="V13" t="inlineStr"/>
    </row>
    <row r="14">
      <c r="A14" t="n">
        <v>13</v>
      </c>
      <c r="B14" t="inlineStr"/>
      <c r="C14" t="inlineStr"/>
      <c r="D14" t="inlineStr"/>
      <c r="E14">
        <f>IF(AND(C14&gt;0,D14&gt;0),C14*(1+D14/30),"")</f>
        <v/>
      </c>
      <c r="F14" t="inlineStr"/>
      <c r="G14" t="inlineStr"/>
      <c r="H14" t="inlineStr"/>
      <c r="I14" t="inlineStr"/>
      <c r="J14">
        <f>IF(AND(H14&gt;0,I14&gt;0),H14*(1+I14/30),"")</f>
        <v/>
      </c>
      <c r="K14" t="inlineStr"/>
      <c r="L14" t="inlineStr"/>
      <c r="M14">
        <f>IF(AND(K14&gt;0,L14&gt;0),K14*(1+L14/30),"")</f>
        <v/>
      </c>
      <c r="N14" t="inlineStr"/>
      <c r="O14" t="inlineStr"/>
      <c r="P14" t="inlineStr"/>
      <c r="Q14" t="inlineStr"/>
      <c r="R14" t="inlineStr"/>
      <c r="S14" t="inlineStr"/>
      <c r="T14">
        <f>IF(AND(C14&gt;0,D14&gt;0),C14*D14,0)+IF(AND(F14&gt;0,G14&gt;0),F14*G14,0)+IF(AND(H14&gt;0,I14&gt;0),H14*I14,0)+IF(AND(K14&gt;0,L14&gt;0),K14*L14,0)+IF(AND(N14&gt;0,O14&gt;0),N14*O14,0)+IF(AND(P14&gt;0,Q14&gt;0),P14*Q14,0)+IF(AND(R14&gt;0,S14&gt;0),R14*S14,0)</f>
        <v/>
      </c>
      <c r="U14">
        <f>T14</f>
        <v/>
      </c>
      <c r="V14" t="inlineStr"/>
    </row>
    <row r="15">
      <c r="A15" t="n">
        <v>14</v>
      </c>
      <c r="B15" t="inlineStr"/>
      <c r="C15" t="inlineStr"/>
      <c r="D15" t="inlineStr"/>
      <c r="E15">
        <f>IF(AND(C15&gt;0,D15&gt;0),C15*(1+D15/30),"")</f>
        <v/>
      </c>
      <c r="F15" t="inlineStr"/>
      <c r="G15" t="inlineStr"/>
      <c r="H15" t="inlineStr"/>
      <c r="I15" t="inlineStr"/>
      <c r="J15">
        <f>IF(AND(H15&gt;0,I15&gt;0),H15*(1+I15/30),"")</f>
        <v/>
      </c>
      <c r="K15" t="inlineStr"/>
      <c r="L15" t="inlineStr"/>
      <c r="M15">
        <f>IF(AND(K15&gt;0,L15&gt;0),K15*(1+L15/30),"")</f>
        <v/>
      </c>
      <c r="N15" t="inlineStr"/>
      <c r="O15" t="inlineStr"/>
      <c r="P15" t="inlineStr"/>
      <c r="Q15" t="inlineStr"/>
      <c r="R15" t="inlineStr"/>
      <c r="S15" t="inlineStr"/>
      <c r="T15">
        <f>IF(AND(C15&gt;0,D15&gt;0),C15*D15,0)+IF(AND(F15&gt;0,G15&gt;0),F15*G15,0)+IF(AND(H15&gt;0,I15&gt;0),H15*I15,0)+IF(AND(K15&gt;0,L15&gt;0),K15*L15,0)+IF(AND(N15&gt;0,O15&gt;0),N15*O15,0)+IF(AND(P15&gt;0,Q15&gt;0),P15*Q15,0)+IF(AND(R15&gt;0,S15&gt;0),R15*S15,0)</f>
        <v/>
      </c>
      <c r="U15">
        <f>T15</f>
        <v/>
      </c>
      <c r="V15" t="inlineStr"/>
    </row>
    <row r="16">
      <c r="A16" t="n">
        <v>15</v>
      </c>
      <c r="B16" t="inlineStr"/>
      <c r="C16" t="inlineStr"/>
      <c r="D16" t="inlineStr"/>
      <c r="E16">
        <f>IF(AND(C16&gt;0,D16&gt;0),C16*(1+D16/30),"")</f>
        <v/>
      </c>
      <c r="F16" t="inlineStr"/>
      <c r="G16" t="inlineStr"/>
      <c r="H16" t="inlineStr"/>
      <c r="I16" t="inlineStr"/>
      <c r="J16">
        <f>IF(AND(H16&gt;0,I16&gt;0),H16*(1+I16/30),"")</f>
        <v/>
      </c>
      <c r="K16" t="inlineStr"/>
      <c r="L16" t="inlineStr"/>
      <c r="M16">
        <f>IF(AND(K16&gt;0,L16&gt;0),K16*(1+L16/30),"")</f>
        <v/>
      </c>
      <c r="N16" t="inlineStr"/>
      <c r="O16" t="inlineStr"/>
      <c r="P16" t="inlineStr"/>
      <c r="Q16" t="inlineStr"/>
      <c r="R16" t="inlineStr"/>
      <c r="S16" t="inlineStr"/>
      <c r="T16">
        <f>IF(AND(C16&gt;0,D16&gt;0),C16*D16,0)+IF(AND(F16&gt;0,G16&gt;0),F16*G16,0)+IF(AND(H16&gt;0,I16&gt;0),H16*I16,0)+IF(AND(K16&gt;0,L16&gt;0),K16*L16,0)+IF(AND(N16&gt;0,O16&gt;0),N16*O16,0)+IF(AND(P16&gt;0,Q16&gt;0),P16*Q16,0)+IF(AND(R16&gt;0,S16&gt;0),R16*S16,0)</f>
        <v/>
      </c>
      <c r="U16">
        <f>T16</f>
        <v/>
      </c>
      <c r="V16" t="inlineStr"/>
    </row>
    <row r="17">
      <c r="A17" t="n">
        <v>16</v>
      </c>
      <c r="B17" t="inlineStr"/>
      <c r="C17" t="inlineStr"/>
      <c r="D17" t="inlineStr"/>
      <c r="E17">
        <f>IF(AND(C17&gt;0,D17&gt;0),C17*(1+D17/30),"")</f>
        <v/>
      </c>
      <c r="F17" t="inlineStr"/>
      <c r="G17" t="inlineStr"/>
      <c r="H17" t="inlineStr"/>
      <c r="I17" t="inlineStr"/>
      <c r="J17">
        <f>IF(AND(H17&gt;0,I17&gt;0),H17*(1+I17/30),"")</f>
        <v/>
      </c>
      <c r="K17" t="inlineStr"/>
      <c r="L17" t="inlineStr"/>
      <c r="M17">
        <f>IF(AND(K17&gt;0,L17&gt;0),K17*(1+L17/30),"")</f>
        <v/>
      </c>
      <c r="N17" t="inlineStr"/>
      <c r="O17" t="inlineStr"/>
      <c r="P17" t="inlineStr"/>
      <c r="Q17" t="inlineStr"/>
      <c r="R17" t="inlineStr"/>
      <c r="S17" t="inlineStr"/>
      <c r="T17">
        <f>IF(AND(C17&gt;0,D17&gt;0),C17*D17,0)+IF(AND(F17&gt;0,G17&gt;0),F17*G17,0)+IF(AND(H17&gt;0,I17&gt;0),H17*I17,0)+IF(AND(K17&gt;0,L17&gt;0),K17*L17,0)+IF(AND(N17&gt;0,O17&gt;0),N17*O17,0)+IF(AND(P17&gt;0,Q17&gt;0),P17*Q17,0)+IF(AND(R17&gt;0,S17&gt;0),R17*S17,0)</f>
        <v/>
      </c>
      <c r="U17">
        <f>T17</f>
        <v/>
      </c>
      <c r="V17" t="inlineStr"/>
    </row>
    <row r="18">
      <c r="A18" t="n">
        <v>17</v>
      </c>
      <c r="B18" t="inlineStr"/>
      <c r="C18" t="inlineStr"/>
      <c r="D18" t="inlineStr"/>
      <c r="E18">
        <f>IF(AND(C18&gt;0,D18&gt;0),C18*(1+D18/30),"")</f>
        <v/>
      </c>
      <c r="F18" t="inlineStr"/>
      <c r="G18" t="inlineStr"/>
      <c r="H18" t="inlineStr"/>
      <c r="I18" t="inlineStr"/>
      <c r="J18">
        <f>IF(AND(H18&gt;0,I18&gt;0),H18*(1+I18/30),"")</f>
        <v/>
      </c>
      <c r="K18" t="inlineStr"/>
      <c r="L18" t="inlineStr"/>
      <c r="M18">
        <f>IF(AND(K18&gt;0,L18&gt;0),K18*(1+L18/30),"")</f>
        <v/>
      </c>
      <c r="N18" t="inlineStr"/>
      <c r="O18" t="inlineStr"/>
      <c r="P18" t="inlineStr"/>
      <c r="Q18" t="inlineStr"/>
      <c r="R18" t="inlineStr"/>
      <c r="S18" t="inlineStr"/>
      <c r="T18">
        <f>IF(AND(C18&gt;0,D18&gt;0),C18*D18,0)+IF(AND(F18&gt;0,G18&gt;0),F18*G18,0)+IF(AND(H18&gt;0,I18&gt;0),H18*I18,0)+IF(AND(K18&gt;0,L18&gt;0),K18*L18,0)+IF(AND(N18&gt;0,O18&gt;0),N18*O18,0)+IF(AND(P18&gt;0,Q18&gt;0),P18*Q18,0)+IF(AND(R18&gt;0,S18&gt;0),R18*S18,0)</f>
        <v/>
      </c>
      <c r="U18">
        <f>T18</f>
        <v/>
      </c>
      <c r="V18" t="inlineStr"/>
    </row>
    <row r="19">
      <c r="A19" t="n">
        <v>18</v>
      </c>
      <c r="B19" t="inlineStr"/>
      <c r="C19" t="inlineStr"/>
      <c r="D19" t="inlineStr"/>
      <c r="E19">
        <f>IF(AND(C19&gt;0,D19&gt;0),C19*(1+D19/30),"")</f>
        <v/>
      </c>
      <c r="F19" t="inlineStr"/>
      <c r="G19" t="inlineStr"/>
      <c r="H19" t="inlineStr"/>
      <c r="I19" t="inlineStr"/>
      <c r="J19">
        <f>IF(AND(H19&gt;0,I19&gt;0),H19*(1+I19/30),"")</f>
        <v/>
      </c>
      <c r="K19" t="inlineStr"/>
      <c r="L19" t="inlineStr"/>
      <c r="M19">
        <f>IF(AND(K19&gt;0,L19&gt;0),K19*(1+L19/30),"")</f>
        <v/>
      </c>
      <c r="N19" t="inlineStr"/>
      <c r="O19" t="inlineStr"/>
      <c r="P19" t="inlineStr"/>
      <c r="Q19" t="inlineStr"/>
      <c r="R19" t="inlineStr"/>
      <c r="S19" t="inlineStr"/>
      <c r="T19">
        <f>IF(AND(C19&gt;0,D19&gt;0),C19*D19,0)+IF(AND(F19&gt;0,G19&gt;0),F19*G19,0)+IF(AND(H19&gt;0,I19&gt;0),H19*I19,0)+IF(AND(K19&gt;0,L19&gt;0),K19*L19,0)+IF(AND(N19&gt;0,O19&gt;0),N19*O19,0)+IF(AND(P19&gt;0,Q19&gt;0),P19*Q19,0)+IF(AND(R19&gt;0,S19&gt;0),R19*S19,0)</f>
        <v/>
      </c>
      <c r="U19">
        <f>T19</f>
        <v/>
      </c>
      <c r="V19" t="inlineStr"/>
    </row>
    <row r="20">
      <c r="A20" t="n">
        <v>19</v>
      </c>
      <c r="B20" t="inlineStr"/>
      <c r="C20" t="inlineStr"/>
      <c r="D20" t="inlineStr"/>
      <c r="E20">
        <f>IF(AND(C20&gt;0,D20&gt;0),C20*(1+D20/30),"")</f>
        <v/>
      </c>
      <c r="F20" t="inlineStr"/>
      <c r="G20" t="inlineStr"/>
      <c r="H20" t="inlineStr"/>
      <c r="I20" t="inlineStr"/>
      <c r="J20">
        <f>IF(AND(H20&gt;0,I20&gt;0),H20*(1+I20/30),"")</f>
        <v/>
      </c>
      <c r="K20" t="inlineStr"/>
      <c r="L20" t="inlineStr"/>
      <c r="M20">
        <f>IF(AND(K20&gt;0,L20&gt;0),K20*(1+L20/30),"")</f>
        <v/>
      </c>
      <c r="N20" t="inlineStr"/>
      <c r="O20" t="inlineStr"/>
      <c r="P20" t="inlineStr"/>
      <c r="Q20" t="inlineStr"/>
      <c r="R20" t="inlineStr"/>
      <c r="S20" t="inlineStr"/>
      <c r="T20">
        <f>IF(AND(C20&gt;0,D20&gt;0),C20*D20,0)+IF(AND(F20&gt;0,G20&gt;0),F20*G20,0)+IF(AND(H20&gt;0,I20&gt;0),H20*I20,0)+IF(AND(K20&gt;0,L20&gt;0),K20*L20,0)+IF(AND(N20&gt;0,O20&gt;0),N20*O20,0)+IF(AND(P20&gt;0,Q20&gt;0),P20*Q20,0)+IF(AND(R20&gt;0,S20&gt;0),R20*S20,0)</f>
        <v/>
      </c>
      <c r="U20">
        <f>T20</f>
        <v/>
      </c>
      <c r="V20" t="inlineStr"/>
    </row>
    <row r="21">
      <c r="A21" t="n">
        <v>20</v>
      </c>
      <c r="B21" t="inlineStr"/>
      <c r="C21" t="inlineStr"/>
      <c r="D21" t="inlineStr"/>
      <c r="E21">
        <f>IF(AND(C21&gt;0,D21&gt;0),C21*(1+D21/30),"")</f>
        <v/>
      </c>
      <c r="F21" t="inlineStr"/>
      <c r="G21" t="inlineStr"/>
      <c r="H21" t="inlineStr"/>
      <c r="I21" t="inlineStr"/>
      <c r="J21">
        <f>IF(AND(H21&gt;0,I21&gt;0),H21*(1+I21/30),"")</f>
        <v/>
      </c>
      <c r="K21" t="inlineStr"/>
      <c r="L21" t="inlineStr"/>
      <c r="M21">
        <f>IF(AND(K21&gt;0,L21&gt;0),K21*(1+L21/30),"")</f>
        <v/>
      </c>
      <c r="N21" t="inlineStr"/>
      <c r="O21" t="inlineStr"/>
      <c r="P21" t="inlineStr"/>
      <c r="Q21" t="inlineStr"/>
      <c r="R21" t="inlineStr"/>
      <c r="S21" t="inlineStr"/>
      <c r="T21">
        <f>IF(AND(C21&gt;0,D21&gt;0),C21*D21,0)+IF(AND(F21&gt;0,G21&gt;0),F21*G21,0)+IF(AND(H21&gt;0,I21&gt;0),H21*I21,0)+IF(AND(K21&gt;0,L21&gt;0),K21*L21,0)+IF(AND(N21&gt;0,O21&gt;0),N21*O21,0)+IF(AND(P21&gt;0,Q21&gt;0),P21*Q21,0)+IF(AND(R21&gt;0,S21&gt;0),R21*S21,0)</f>
        <v/>
      </c>
      <c r="U21">
        <f>T21</f>
        <v/>
      </c>
      <c r="V21" t="inlineStr"/>
    </row>
    <row r="22">
      <c r="A22" t="n">
        <v>21</v>
      </c>
      <c r="B22" t="inlineStr"/>
      <c r="C22" t="inlineStr"/>
      <c r="D22" t="inlineStr"/>
      <c r="E22">
        <f>IF(AND(C22&gt;0,D22&gt;0),C22*(1+D22/30),"")</f>
        <v/>
      </c>
      <c r="F22" t="inlineStr"/>
      <c r="G22" t="inlineStr"/>
      <c r="H22" t="inlineStr"/>
      <c r="I22" t="inlineStr"/>
      <c r="J22">
        <f>IF(AND(H22&gt;0,I22&gt;0),H22*(1+I22/30),"")</f>
        <v/>
      </c>
      <c r="K22" t="inlineStr"/>
      <c r="L22" t="inlineStr"/>
      <c r="M22">
        <f>IF(AND(K22&gt;0,L22&gt;0),K22*(1+L22/30),"")</f>
        <v/>
      </c>
      <c r="N22" t="inlineStr"/>
      <c r="O22" t="inlineStr"/>
      <c r="P22" t="inlineStr"/>
      <c r="Q22" t="inlineStr"/>
      <c r="R22" t="inlineStr"/>
      <c r="S22" t="inlineStr"/>
      <c r="T22">
        <f>IF(AND(C22&gt;0,D22&gt;0),C22*D22,0)+IF(AND(F22&gt;0,G22&gt;0),F22*G22,0)+IF(AND(H22&gt;0,I22&gt;0),H22*I22,0)+IF(AND(K22&gt;0,L22&gt;0),K22*L22,0)+IF(AND(N22&gt;0,O22&gt;0),N22*O22,0)+IF(AND(P22&gt;0,Q22&gt;0),P22*Q22,0)+IF(AND(R22&gt;0,S22&gt;0),R22*S22,0)</f>
        <v/>
      </c>
      <c r="U22">
        <f>T22</f>
        <v/>
      </c>
      <c r="V22" t="inlineStr"/>
    </row>
    <row r="23">
      <c r="A23" t="n">
        <v>22</v>
      </c>
      <c r="B23" t="inlineStr"/>
      <c r="C23" t="inlineStr"/>
      <c r="D23" t="inlineStr"/>
      <c r="E23">
        <f>IF(AND(C23&gt;0,D23&gt;0),C23*(1+D23/30),"")</f>
        <v/>
      </c>
      <c r="F23" t="inlineStr"/>
      <c r="G23" t="inlineStr"/>
      <c r="H23" t="inlineStr"/>
      <c r="I23" t="inlineStr"/>
      <c r="J23">
        <f>IF(AND(H23&gt;0,I23&gt;0),H23*(1+I23/30),"")</f>
        <v/>
      </c>
      <c r="K23" t="inlineStr"/>
      <c r="L23" t="inlineStr"/>
      <c r="M23">
        <f>IF(AND(K23&gt;0,L23&gt;0),K23*(1+L23/30),"")</f>
        <v/>
      </c>
      <c r="N23" t="inlineStr"/>
      <c r="O23" t="inlineStr"/>
      <c r="P23" t="inlineStr"/>
      <c r="Q23" t="inlineStr"/>
      <c r="R23" t="inlineStr"/>
      <c r="S23" t="inlineStr"/>
      <c r="T23">
        <f>IF(AND(C23&gt;0,D23&gt;0),C23*D23,0)+IF(AND(F23&gt;0,G23&gt;0),F23*G23,0)+IF(AND(H23&gt;0,I23&gt;0),H23*I23,0)+IF(AND(K23&gt;0,L23&gt;0),K23*L23,0)+IF(AND(N23&gt;0,O23&gt;0),N23*O23,0)+IF(AND(P23&gt;0,Q23&gt;0),P23*Q23,0)+IF(AND(R23&gt;0,S23&gt;0),R23*S23,0)</f>
        <v/>
      </c>
      <c r="U23">
        <f>T23</f>
        <v/>
      </c>
      <c r="V23" t="inlineStr"/>
    </row>
    <row r="24">
      <c r="A24" t="n">
        <v>23</v>
      </c>
      <c r="B24" t="inlineStr"/>
      <c r="C24" t="inlineStr"/>
      <c r="D24" t="inlineStr"/>
      <c r="E24">
        <f>IF(AND(C24&gt;0,D24&gt;0),C24*(1+D24/30),"")</f>
        <v/>
      </c>
      <c r="F24" t="inlineStr"/>
      <c r="G24" t="inlineStr"/>
      <c r="H24" t="inlineStr"/>
      <c r="I24" t="inlineStr"/>
      <c r="J24">
        <f>IF(AND(H24&gt;0,I24&gt;0),H24*(1+I24/30),"")</f>
        <v/>
      </c>
      <c r="K24" t="inlineStr"/>
      <c r="L24" t="inlineStr"/>
      <c r="M24">
        <f>IF(AND(K24&gt;0,L24&gt;0),K24*(1+L24/30),"")</f>
        <v/>
      </c>
      <c r="N24" t="inlineStr"/>
      <c r="O24" t="inlineStr"/>
      <c r="P24" t="inlineStr"/>
      <c r="Q24" t="inlineStr"/>
      <c r="R24" t="inlineStr"/>
      <c r="S24" t="inlineStr"/>
      <c r="T24">
        <f>IF(AND(C24&gt;0,D24&gt;0),C24*D24,0)+IF(AND(F24&gt;0,G24&gt;0),F24*G24,0)+IF(AND(H24&gt;0,I24&gt;0),H24*I24,0)+IF(AND(K24&gt;0,L24&gt;0),K24*L24,0)+IF(AND(N24&gt;0,O24&gt;0),N24*O24,0)+IF(AND(P24&gt;0,Q24&gt;0),P24*Q24,0)+IF(AND(R24&gt;0,S24&gt;0),R24*S24,0)</f>
        <v/>
      </c>
      <c r="U24">
        <f>T24</f>
        <v/>
      </c>
      <c r="V24" t="inlineStr"/>
    </row>
    <row r="25">
      <c r="A25" t="n">
        <v>24</v>
      </c>
      <c r="B25" t="inlineStr"/>
      <c r="C25" t="inlineStr"/>
      <c r="D25" t="inlineStr"/>
      <c r="E25">
        <f>IF(AND(C25&gt;0,D25&gt;0),C25*(1+D25/30),"")</f>
        <v/>
      </c>
      <c r="F25" t="inlineStr"/>
      <c r="G25" t="inlineStr"/>
      <c r="H25" t="inlineStr"/>
      <c r="I25" t="inlineStr"/>
      <c r="J25">
        <f>IF(AND(H25&gt;0,I25&gt;0),H25*(1+I25/30),"")</f>
        <v/>
      </c>
      <c r="K25" t="inlineStr"/>
      <c r="L25" t="inlineStr"/>
      <c r="M25">
        <f>IF(AND(K25&gt;0,L25&gt;0),K25*(1+L25/30),"")</f>
        <v/>
      </c>
      <c r="N25" t="inlineStr"/>
      <c r="O25" t="inlineStr"/>
      <c r="P25" t="inlineStr"/>
      <c r="Q25" t="inlineStr"/>
      <c r="R25" t="inlineStr"/>
      <c r="S25" t="inlineStr"/>
      <c r="T25">
        <f>IF(AND(C25&gt;0,D25&gt;0),C25*D25,0)+IF(AND(F25&gt;0,G25&gt;0),F25*G25,0)+IF(AND(H25&gt;0,I25&gt;0),H25*I25,0)+IF(AND(K25&gt;0,L25&gt;0),K25*L25,0)+IF(AND(N25&gt;0,O25&gt;0),N25*O25,0)+IF(AND(P25&gt;0,Q25&gt;0),P25*Q25,0)+IF(AND(R25&gt;0,S25&gt;0),R25*S25,0)</f>
        <v/>
      </c>
      <c r="U25">
        <f>T25</f>
        <v/>
      </c>
      <c r="V25" t="inlineStr"/>
    </row>
    <row r="26">
      <c r="A26" t="n">
        <v>25</v>
      </c>
      <c r="B26" t="inlineStr"/>
      <c r="C26" t="inlineStr"/>
      <c r="D26" t="inlineStr"/>
      <c r="E26">
        <f>IF(AND(C26&gt;0,D26&gt;0),C26*(1+D26/30),"")</f>
        <v/>
      </c>
      <c r="F26" t="inlineStr"/>
      <c r="G26" t="inlineStr"/>
      <c r="H26" t="inlineStr"/>
      <c r="I26" t="inlineStr"/>
      <c r="J26">
        <f>IF(AND(H26&gt;0,I26&gt;0),H26*(1+I26/30),"")</f>
        <v/>
      </c>
      <c r="K26" t="inlineStr"/>
      <c r="L26" t="inlineStr"/>
      <c r="M26">
        <f>IF(AND(K26&gt;0,L26&gt;0),K26*(1+L26/30),"")</f>
        <v/>
      </c>
      <c r="N26" t="inlineStr"/>
      <c r="O26" t="inlineStr"/>
      <c r="P26" t="inlineStr"/>
      <c r="Q26" t="inlineStr"/>
      <c r="R26" t="inlineStr"/>
      <c r="S26" t="inlineStr"/>
      <c r="T26">
        <f>IF(AND(C26&gt;0,D26&gt;0),C26*D26,0)+IF(AND(F26&gt;0,G26&gt;0),F26*G26,0)+IF(AND(H26&gt;0,I26&gt;0),H26*I26,0)+IF(AND(K26&gt;0,L26&gt;0),K26*L26,0)+IF(AND(N26&gt;0,O26&gt;0),N26*O26,0)+IF(AND(P26&gt;0,Q26&gt;0),P26*Q26,0)+IF(AND(R26&gt;0,S26&gt;0),R26*S26,0)</f>
        <v/>
      </c>
      <c r="U26">
        <f>T26</f>
        <v/>
      </c>
      <c r="V26" t="inlineStr"/>
    </row>
    <row r="27">
      <c r="A27" t="n">
        <v>26</v>
      </c>
      <c r="B27" t="inlineStr"/>
      <c r="C27" t="inlineStr"/>
      <c r="D27" t="inlineStr"/>
      <c r="E27">
        <f>IF(AND(C27&gt;0,D27&gt;0),C27*(1+D27/30),"")</f>
        <v/>
      </c>
      <c r="F27" t="inlineStr"/>
      <c r="G27" t="inlineStr"/>
      <c r="H27" t="inlineStr"/>
      <c r="I27" t="inlineStr"/>
      <c r="J27">
        <f>IF(AND(H27&gt;0,I27&gt;0),H27*(1+I27/30),"")</f>
        <v/>
      </c>
      <c r="K27" t="inlineStr"/>
      <c r="L27" t="inlineStr"/>
      <c r="M27">
        <f>IF(AND(K27&gt;0,L27&gt;0),K27*(1+L27/30),"")</f>
        <v/>
      </c>
      <c r="N27" t="inlineStr"/>
      <c r="O27" t="inlineStr"/>
      <c r="P27" t="inlineStr"/>
      <c r="Q27" t="inlineStr"/>
      <c r="R27" t="inlineStr"/>
      <c r="S27" t="inlineStr"/>
      <c r="T27">
        <f>IF(AND(C27&gt;0,D27&gt;0),C27*D27,0)+IF(AND(F27&gt;0,G27&gt;0),F27*G27,0)+IF(AND(H27&gt;0,I27&gt;0),H27*I27,0)+IF(AND(K27&gt;0,L27&gt;0),K27*L27,0)+IF(AND(N27&gt;0,O27&gt;0),N27*O27,0)+IF(AND(P27&gt;0,Q27&gt;0),P27*Q27,0)+IF(AND(R27&gt;0,S27&gt;0),R27*S27,0)</f>
        <v/>
      </c>
      <c r="U27">
        <f>T27</f>
        <v/>
      </c>
      <c r="V27" t="inlineStr"/>
    </row>
    <row r="28">
      <c r="A28" t="n">
        <v>27</v>
      </c>
      <c r="B28" t="inlineStr"/>
      <c r="C28" t="inlineStr"/>
      <c r="D28" t="inlineStr"/>
      <c r="E28">
        <f>IF(AND(C28&gt;0,D28&gt;0),C28*(1+D28/30),"")</f>
        <v/>
      </c>
      <c r="F28" t="inlineStr"/>
      <c r="G28" t="inlineStr"/>
      <c r="H28" t="inlineStr"/>
      <c r="I28" t="inlineStr"/>
      <c r="J28">
        <f>IF(AND(H28&gt;0,I28&gt;0),H28*(1+I28/30),"")</f>
        <v/>
      </c>
      <c r="K28" t="inlineStr"/>
      <c r="L28" t="inlineStr"/>
      <c r="M28">
        <f>IF(AND(K28&gt;0,L28&gt;0),K28*(1+L28/30),"")</f>
        <v/>
      </c>
      <c r="N28" t="inlineStr"/>
      <c r="O28" t="inlineStr"/>
      <c r="P28" t="inlineStr"/>
      <c r="Q28" t="inlineStr"/>
      <c r="R28" t="inlineStr"/>
      <c r="S28" t="inlineStr"/>
      <c r="T28">
        <f>IF(AND(C28&gt;0,D28&gt;0),C28*D28,0)+IF(AND(F28&gt;0,G28&gt;0),F28*G28,0)+IF(AND(H28&gt;0,I28&gt;0),H28*I28,0)+IF(AND(K28&gt;0,L28&gt;0),K28*L28,0)+IF(AND(N28&gt;0,O28&gt;0),N28*O28,0)+IF(AND(P28&gt;0,Q28&gt;0),P28*Q28,0)+IF(AND(R28&gt;0,S28&gt;0),R28*S28,0)</f>
        <v/>
      </c>
      <c r="U28">
        <f>T28</f>
        <v/>
      </c>
      <c r="V28" t="inlineStr"/>
    </row>
    <row r="29">
      <c r="A29" t="n">
        <v>28</v>
      </c>
      <c r="B29" t="inlineStr"/>
      <c r="C29" t="inlineStr"/>
      <c r="D29" t="inlineStr"/>
      <c r="E29">
        <f>IF(AND(C29&gt;0,D29&gt;0),C29*(1+D29/30),"")</f>
        <v/>
      </c>
      <c r="F29" t="inlineStr"/>
      <c r="G29" t="inlineStr"/>
      <c r="H29" t="inlineStr"/>
      <c r="I29" t="inlineStr"/>
      <c r="J29">
        <f>IF(AND(H29&gt;0,I29&gt;0),H29*(1+I29/30),"")</f>
        <v/>
      </c>
      <c r="K29" t="inlineStr"/>
      <c r="L29" t="inlineStr"/>
      <c r="M29">
        <f>IF(AND(K29&gt;0,L29&gt;0),K29*(1+L29/30),"")</f>
        <v/>
      </c>
      <c r="N29" t="inlineStr"/>
      <c r="O29" t="inlineStr"/>
      <c r="P29" t="inlineStr"/>
      <c r="Q29" t="inlineStr"/>
      <c r="R29" t="inlineStr"/>
      <c r="S29" t="inlineStr"/>
      <c r="T29">
        <f>IF(AND(C29&gt;0,D29&gt;0),C29*D29,0)+IF(AND(F29&gt;0,G29&gt;0),F29*G29,0)+IF(AND(H29&gt;0,I29&gt;0),H29*I29,0)+IF(AND(K29&gt;0,L29&gt;0),K29*L29,0)+IF(AND(N29&gt;0,O29&gt;0),N29*O29,0)+IF(AND(P29&gt;0,Q29&gt;0),P29*Q29,0)+IF(AND(R29&gt;0,S29&gt;0),R29*S29,0)</f>
        <v/>
      </c>
      <c r="U29">
        <f>T29</f>
        <v/>
      </c>
      <c r="V29" t="inlineStr"/>
    </row>
    <row r="30">
      <c r="A30" t="n">
        <v>29</v>
      </c>
      <c r="B30" t="inlineStr"/>
      <c r="C30" t="inlineStr"/>
      <c r="D30" t="inlineStr"/>
      <c r="E30">
        <f>IF(AND(C30&gt;0,D30&gt;0),C30*(1+D30/30),"")</f>
        <v/>
      </c>
      <c r="F30" t="inlineStr"/>
      <c r="G30" t="inlineStr"/>
      <c r="H30" t="inlineStr"/>
      <c r="I30" t="inlineStr"/>
      <c r="J30">
        <f>IF(AND(H30&gt;0,I30&gt;0),H30*(1+I30/30),"")</f>
        <v/>
      </c>
      <c r="K30" t="inlineStr"/>
      <c r="L30" t="inlineStr"/>
      <c r="M30">
        <f>IF(AND(K30&gt;0,L30&gt;0),K30*(1+L30/30),"")</f>
        <v/>
      </c>
      <c r="N30" t="inlineStr"/>
      <c r="O30" t="inlineStr"/>
      <c r="P30" t="inlineStr"/>
      <c r="Q30" t="inlineStr"/>
      <c r="R30" t="inlineStr"/>
      <c r="S30" t="inlineStr"/>
      <c r="T30">
        <f>IF(AND(C30&gt;0,D30&gt;0),C30*D30,0)+IF(AND(F30&gt;0,G30&gt;0),F30*G30,0)+IF(AND(H30&gt;0,I30&gt;0),H30*I30,0)+IF(AND(K30&gt;0,L30&gt;0),K30*L30,0)+IF(AND(N30&gt;0,O30&gt;0),N30*O30,0)+IF(AND(P30&gt;0,Q30&gt;0),P30*Q30,0)+IF(AND(R30&gt;0,S30&gt;0),R30*S30,0)</f>
        <v/>
      </c>
      <c r="U30">
        <f>T30</f>
        <v/>
      </c>
      <c r="V30" t="inlineStr"/>
    </row>
    <row r="31">
      <c r="A31" t="n">
        <v>30</v>
      </c>
      <c r="B31" t="inlineStr"/>
      <c r="C31" t="inlineStr"/>
      <c r="D31" t="inlineStr"/>
      <c r="E31">
        <f>IF(AND(C31&gt;0,D31&gt;0),C31*(1+D31/30),"")</f>
        <v/>
      </c>
      <c r="F31" t="inlineStr"/>
      <c r="G31" t="inlineStr"/>
      <c r="H31" t="inlineStr"/>
      <c r="I31" t="inlineStr"/>
      <c r="J31">
        <f>IF(AND(H31&gt;0,I31&gt;0),H31*(1+I31/30),"")</f>
        <v/>
      </c>
      <c r="K31" t="inlineStr"/>
      <c r="L31" t="inlineStr"/>
      <c r="M31">
        <f>IF(AND(K31&gt;0,L31&gt;0),K31*(1+L31/30),"")</f>
        <v/>
      </c>
      <c r="N31" t="inlineStr"/>
      <c r="O31" t="inlineStr"/>
      <c r="P31" t="inlineStr"/>
      <c r="Q31" t="inlineStr"/>
      <c r="R31" t="inlineStr"/>
      <c r="S31" t="inlineStr"/>
      <c r="T31">
        <f>IF(AND(C31&gt;0,D31&gt;0),C31*D31,0)+IF(AND(F31&gt;0,G31&gt;0),F31*G31,0)+IF(AND(H31&gt;0,I31&gt;0),H31*I31,0)+IF(AND(K31&gt;0,L31&gt;0),K31*L31,0)+IF(AND(N31&gt;0,O31&gt;0),N31*O31,0)+IF(AND(P31&gt;0,Q31&gt;0),P31*Q31,0)+IF(AND(R31&gt;0,S31&gt;0),R31*S31,0)</f>
        <v/>
      </c>
      <c r="U31">
        <f>T31</f>
        <v/>
      </c>
      <c r="V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Séance</t>
        </is>
      </c>
      <c r="B1" t="inlineStr">
        <is>
          <t>HSPU (reps)</t>
        </is>
      </c>
      <c r="C1" t="inlineStr">
        <is>
          <t>MU (reps)</t>
        </is>
      </c>
      <c r="D1" t="inlineStr">
        <is>
          <t>Planche (sec)</t>
        </is>
      </c>
      <c r="E1" t="inlineStr">
        <is>
          <t>Traction Lestée (kg)</t>
        </is>
      </c>
      <c r="F1" t="inlineStr">
        <is>
          <t>Box Jump (cm)</t>
        </is>
      </c>
      <c r="G1" t="inlineStr">
        <is>
          <t>Calisth. Volume (unités)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>
        <f>IF(B2&gt;0,B2*10,0)+IF(C2&gt;0,C2*15,0)+IF(D2&gt;0,D2*1,0)+IF(E2&gt;0,E2*5,0)+IF(F2&gt;0,F2*2,0)</f>
        <v/>
      </c>
    </row>
    <row r="3">
      <c r="A3" t="n">
        <v>2</v>
      </c>
      <c r="B3" t="inlineStr"/>
      <c r="C3" t="inlineStr"/>
      <c r="D3" t="inlineStr"/>
      <c r="E3" t="inlineStr"/>
      <c r="F3" t="inlineStr"/>
      <c r="G3">
        <f>IF(B3&gt;0,B3*10,0)+IF(C3&gt;0,C3*15,0)+IF(D3&gt;0,D3*1,0)+IF(E3&gt;0,E3*5,0)+IF(F3&gt;0,F3*2,0)</f>
        <v/>
      </c>
    </row>
    <row r="4">
      <c r="A4" t="n">
        <v>3</v>
      </c>
      <c r="B4" t="inlineStr"/>
      <c r="C4" t="inlineStr"/>
      <c r="D4" t="inlineStr"/>
      <c r="E4" t="inlineStr"/>
      <c r="F4" t="inlineStr"/>
      <c r="G4">
        <f>IF(B4&gt;0,B4*10,0)+IF(C4&gt;0,C4*15,0)+IF(D4&gt;0,D4*1,0)+IF(E4&gt;0,E4*5,0)+IF(F4&gt;0,F4*2,0)</f>
        <v/>
      </c>
    </row>
    <row r="5">
      <c r="A5" t="n">
        <v>4</v>
      </c>
      <c r="B5" t="inlineStr"/>
      <c r="C5" t="inlineStr"/>
      <c r="D5" t="inlineStr"/>
      <c r="E5" t="inlineStr"/>
      <c r="F5" t="inlineStr"/>
      <c r="G5">
        <f>IF(B5&gt;0,B5*10,0)+IF(C5&gt;0,C5*15,0)+IF(D5&gt;0,D5*1,0)+IF(E5&gt;0,E5*5,0)+IF(F5&gt;0,F5*2,0)</f>
        <v/>
      </c>
    </row>
    <row r="6">
      <c r="A6" t="n">
        <v>5</v>
      </c>
      <c r="B6" t="inlineStr"/>
      <c r="C6" t="inlineStr"/>
      <c r="D6" t="inlineStr"/>
      <c r="E6" t="inlineStr"/>
      <c r="F6" t="inlineStr"/>
      <c r="G6">
        <f>IF(B6&gt;0,B6*10,0)+IF(C6&gt;0,C6*15,0)+IF(D6&gt;0,D6*1,0)+IF(E6&gt;0,E6*5,0)+IF(F6&gt;0,F6*2,0)</f>
        <v/>
      </c>
    </row>
    <row r="7">
      <c r="A7" t="n">
        <v>6</v>
      </c>
      <c r="B7" t="inlineStr"/>
      <c r="C7" t="inlineStr"/>
      <c r="D7" t="inlineStr"/>
      <c r="E7" t="inlineStr"/>
      <c r="F7" t="inlineStr"/>
      <c r="G7">
        <f>IF(B7&gt;0,B7*10,0)+IF(C7&gt;0,C7*15,0)+IF(D7&gt;0,D7*1,0)+IF(E7&gt;0,E7*5,0)+IF(F7&gt;0,F7*2,0)</f>
        <v/>
      </c>
    </row>
    <row r="8">
      <c r="A8" t="n">
        <v>7</v>
      </c>
      <c r="B8" t="inlineStr"/>
      <c r="C8" t="inlineStr"/>
      <c r="D8" t="inlineStr"/>
      <c r="E8" t="inlineStr"/>
      <c r="F8" t="inlineStr"/>
      <c r="G8">
        <f>IF(B8&gt;0,B8*10,0)+IF(C8&gt;0,C8*15,0)+IF(D8&gt;0,D8*1,0)+IF(E8&gt;0,E8*5,0)+IF(F8&gt;0,F8*2,0)</f>
        <v/>
      </c>
    </row>
    <row r="9">
      <c r="A9" t="n">
        <v>8</v>
      </c>
      <c r="B9" t="inlineStr"/>
      <c r="C9" t="inlineStr"/>
      <c r="D9" t="inlineStr"/>
      <c r="E9" t="inlineStr"/>
      <c r="F9" t="inlineStr"/>
      <c r="G9">
        <f>IF(B9&gt;0,B9*10,0)+IF(C9&gt;0,C9*15,0)+IF(D9&gt;0,D9*1,0)+IF(E9&gt;0,E9*5,0)+IF(F9&gt;0,F9*2,0)</f>
        <v/>
      </c>
    </row>
    <row r="10">
      <c r="A10" t="n">
        <v>9</v>
      </c>
      <c r="B10" t="inlineStr"/>
      <c r="C10" t="inlineStr"/>
      <c r="D10" t="inlineStr"/>
      <c r="E10" t="inlineStr"/>
      <c r="F10" t="inlineStr"/>
      <c r="G10">
        <f>IF(B10&gt;0,B10*10,0)+IF(C10&gt;0,C10*15,0)+IF(D10&gt;0,D10*1,0)+IF(E10&gt;0,E10*5,0)+IF(F10&gt;0,F10*2,0)</f>
        <v/>
      </c>
    </row>
    <row r="11">
      <c r="A11" t="n">
        <v>10</v>
      </c>
      <c r="B11" t="inlineStr"/>
      <c r="C11" t="inlineStr"/>
      <c r="D11" t="inlineStr"/>
      <c r="E11" t="inlineStr"/>
      <c r="F11" t="inlineStr"/>
      <c r="G11">
        <f>IF(B11&gt;0,B11*10,0)+IF(C11&gt;0,C11*15,0)+IF(D11&gt;0,D11*1,0)+IF(E11&gt;0,E11*5,0)+IF(F11&gt;0,F11*2,0)</f>
        <v/>
      </c>
    </row>
    <row r="12">
      <c r="A12" t="n">
        <v>11</v>
      </c>
      <c r="B12" t="inlineStr"/>
      <c r="C12" t="inlineStr"/>
      <c r="D12" t="inlineStr"/>
      <c r="E12" t="inlineStr"/>
      <c r="F12" t="inlineStr"/>
      <c r="G12">
        <f>IF(B12&gt;0,B12*10,0)+IF(C12&gt;0,C12*15,0)+IF(D12&gt;0,D12*1,0)+IF(E12&gt;0,E12*5,0)+IF(F12&gt;0,F12*2,0)</f>
        <v/>
      </c>
    </row>
    <row r="13">
      <c r="A13" t="n">
        <v>12</v>
      </c>
      <c r="B13" t="inlineStr"/>
      <c r="C13" t="inlineStr"/>
      <c r="D13" t="inlineStr"/>
      <c r="E13" t="inlineStr"/>
      <c r="F13" t="inlineStr"/>
      <c r="G13">
        <f>IF(B13&gt;0,B13*10,0)+IF(C13&gt;0,C13*15,0)+IF(D13&gt;0,D13*1,0)+IF(E13&gt;0,E13*5,0)+IF(F13&gt;0,F13*2,0)</f>
        <v/>
      </c>
    </row>
    <row r="14">
      <c r="A14" t="n">
        <v>13</v>
      </c>
      <c r="B14" t="inlineStr"/>
      <c r="C14" t="inlineStr"/>
      <c r="D14" t="inlineStr"/>
      <c r="E14" t="inlineStr"/>
      <c r="F14" t="inlineStr"/>
      <c r="G14">
        <f>IF(B14&gt;0,B14*10,0)+IF(C14&gt;0,C14*15,0)+IF(D14&gt;0,D14*1,0)+IF(E14&gt;0,E14*5,0)+IF(F14&gt;0,F14*2,0)</f>
        <v/>
      </c>
    </row>
    <row r="15">
      <c r="A15" t="n">
        <v>14</v>
      </c>
      <c r="B15" t="inlineStr"/>
      <c r="C15" t="inlineStr"/>
      <c r="D15" t="inlineStr"/>
      <c r="E15" t="inlineStr"/>
      <c r="F15" t="inlineStr"/>
      <c r="G15">
        <f>IF(B15&gt;0,B15*10,0)+IF(C15&gt;0,C15*15,0)+IF(D15&gt;0,D15*1,0)+IF(E15&gt;0,E15*5,0)+IF(F15&gt;0,F15*2,0)</f>
        <v/>
      </c>
    </row>
    <row r="16">
      <c r="A16" t="n">
        <v>15</v>
      </c>
      <c r="B16" t="inlineStr"/>
      <c r="C16" t="inlineStr"/>
      <c r="D16" t="inlineStr"/>
      <c r="E16" t="inlineStr"/>
      <c r="F16" t="inlineStr"/>
      <c r="G16">
        <f>IF(B16&gt;0,B16*10,0)+IF(C16&gt;0,C16*15,0)+IF(D16&gt;0,D16*1,0)+IF(E16&gt;0,E16*5,0)+IF(F16&gt;0,F16*2,0)</f>
        <v/>
      </c>
    </row>
    <row r="17">
      <c r="A17" t="n">
        <v>16</v>
      </c>
      <c r="B17" t="inlineStr"/>
      <c r="C17" t="inlineStr"/>
      <c r="D17" t="inlineStr"/>
      <c r="E17" t="inlineStr"/>
      <c r="F17" t="inlineStr"/>
      <c r="G17">
        <f>IF(B17&gt;0,B17*10,0)+IF(C17&gt;0,C17*15,0)+IF(D17&gt;0,D17*1,0)+IF(E17&gt;0,E17*5,0)+IF(F17&gt;0,F17*2,0)</f>
        <v/>
      </c>
    </row>
    <row r="18">
      <c r="A18" t="n">
        <v>17</v>
      </c>
      <c r="B18" t="inlineStr"/>
      <c r="C18" t="inlineStr"/>
      <c r="D18" t="inlineStr"/>
      <c r="E18" t="inlineStr"/>
      <c r="F18" t="inlineStr"/>
      <c r="G18">
        <f>IF(B18&gt;0,B18*10,0)+IF(C18&gt;0,C18*15,0)+IF(D18&gt;0,D18*1,0)+IF(E18&gt;0,E18*5,0)+IF(F18&gt;0,F18*2,0)</f>
        <v/>
      </c>
    </row>
    <row r="19">
      <c r="A19" t="n">
        <v>18</v>
      </c>
      <c r="B19" t="inlineStr"/>
      <c r="C19" t="inlineStr"/>
      <c r="D19" t="inlineStr"/>
      <c r="E19" t="inlineStr"/>
      <c r="F19" t="inlineStr"/>
      <c r="G19">
        <f>IF(B19&gt;0,B19*10,0)+IF(C19&gt;0,C19*15,0)+IF(D19&gt;0,D19*1,0)+IF(E19&gt;0,E19*5,0)+IF(F19&gt;0,F19*2,0)</f>
        <v/>
      </c>
    </row>
    <row r="20">
      <c r="A20" t="n">
        <v>19</v>
      </c>
      <c r="B20" t="inlineStr"/>
      <c r="C20" t="inlineStr"/>
      <c r="D20" t="inlineStr"/>
      <c r="E20" t="inlineStr"/>
      <c r="F20" t="inlineStr"/>
      <c r="G20">
        <f>IF(B20&gt;0,B20*10,0)+IF(C20&gt;0,C20*15,0)+IF(D20&gt;0,D20*1,0)+IF(E20&gt;0,E20*5,0)+IF(F20&gt;0,F20*2,0)</f>
        <v/>
      </c>
    </row>
    <row r="21">
      <c r="A21" t="n">
        <v>20</v>
      </c>
      <c r="B21" t="inlineStr"/>
      <c r="C21" t="inlineStr"/>
      <c r="D21" t="inlineStr"/>
      <c r="E21" t="inlineStr"/>
      <c r="F21" t="inlineStr"/>
      <c r="G21">
        <f>IF(B21&gt;0,B21*10,0)+IF(C21&gt;0,C21*15,0)+IF(D21&gt;0,D21*1,0)+IF(E21&gt;0,E21*5,0)+IF(F21&gt;0,F21*2,0)</f>
        <v/>
      </c>
    </row>
    <row r="22">
      <c r="A22" t="n">
        <v>21</v>
      </c>
      <c r="B22" t="inlineStr"/>
      <c r="C22" t="inlineStr"/>
      <c r="D22" t="inlineStr"/>
      <c r="E22" t="inlineStr"/>
      <c r="F22" t="inlineStr"/>
      <c r="G22">
        <f>IF(B22&gt;0,B22*10,0)+IF(C22&gt;0,C22*15,0)+IF(D22&gt;0,D22*1,0)+IF(E22&gt;0,E22*5,0)+IF(F22&gt;0,F22*2,0)</f>
        <v/>
      </c>
    </row>
    <row r="23">
      <c r="A23" t="n">
        <v>22</v>
      </c>
      <c r="B23" t="inlineStr"/>
      <c r="C23" t="inlineStr"/>
      <c r="D23" t="inlineStr"/>
      <c r="E23" t="inlineStr"/>
      <c r="F23" t="inlineStr"/>
      <c r="G23">
        <f>IF(B23&gt;0,B23*10,0)+IF(C23&gt;0,C23*15,0)+IF(D23&gt;0,D23*1,0)+IF(E23&gt;0,E23*5,0)+IF(F23&gt;0,F23*2,0)</f>
        <v/>
      </c>
    </row>
    <row r="24">
      <c r="A24" t="n">
        <v>23</v>
      </c>
      <c r="B24" t="inlineStr"/>
      <c r="C24" t="inlineStr"/>
      <c r="D24" t="inlineStr"/>
      <c r="E24" t="inlineStr"/>
      <c r="F24" t="inlineStr"/>
      <c r="G24">
        <f>IF(B24&gt;0,B24*10,0)+IF(C24&gt;0,C24*15,0)+IF(D24&gt;0,D24*1,0)+IF(E24&gt;0,E24*5,0)+IF(F24&gt;0,F24*2,0)</f>
        <v/>
      </c>
    </row>
    <row r="25">
      <c r="A25" t="n">
        <v>24</v>
      </c>
      <c r="B25" t="inlineStr"/>
      <c r="C25" t="inlineStr"/>
      <c r="D25" t="inlineStr"/>
      <c r="E25" t="inlineStr"/>
      <c r="F25" t="inlineStr"/>
      <c r="G25">
        <f>IF(B25&gt;0,B25*10,0)+IF(C25&gt;0,C25*15,0)+IF(D25&gt;0,D25*1,0)+IF(E25&gt;0,E25*5,0)+IF(F25&gt;0,F25*2,0)</f>
        <v/>
      </c>
    </row>
    <row r="26">
      <c r="A26" t="n">
        <v>25</v>
      </c>
      <c r="B26" t="inlineStr"/>
      <c r="C26" t="inlineStr"/>
      <c r="D26" t="inlineStr"/>
      <c r="E26" t="inlineStr"/>
      <c r="F26" t="inlineStr"/>
      <c r="G26">
        <f>IF(B26&gt;0,B26*10,0)+IF(C26&gt;0,C26*15,0)+IF(D26&gt;0,D26*1,0)+IF(E26&gt;0,E26*5,0)+IF(F26&gt;0,F26*2,0)</f>
        <v/>
      </c>
    </row>
    <row r="27">
      <c r="A27" t="n">
        <v>26</v>
      </c>
      <c r="B27" t="inlineStr"/>
      <c r="C27" t="inlineStr"/>
      <c r="D27" t="inlineStr"/>
      <c r="E27" t="inlineStr"/>
      <c r="F27" t="inlineStr"/>
      <c r="G27">
        <f>IF(B27&gt;0,B27*10,0)+IF(C27&gt;0,C27*15,0)+IF(D27&gt;0,D27*1,0)+IF(E27&gt;0,E27*5,0)+IF(F27&gt;0,F27*2,0)</f>
        <v/>
      </c>
    </row>
    <row r="28">
      <c r="A28" t="n">
        <v>27</v>
      </c>
      <c r="B28" t="inlineStr"/>
      <c r="C28" t="inlineStr"/>
      <c r="D28" t="inlineStr"/>
      <c r="E28" t="inlineStr"/>
      <c r="F28" t="inlineStr"/>
      <c r="G28">
        <f>IF(B28&gt;0,B28*10,0)+IF(C28&gt;0,C28*15,0)+IF(D28&gt;0,D28*1,0)+IF(E28&gt;0,E28*5,0)+IF(F28&gt;0,F28*2,0)</f>
        <v/>
      </c>
    </row>
    <row r="29">
      <c r="A29" t="n">
        <v>28</v>
      </c>
      <c r="B29" t="inlineStr"/>
      <c r="C29" t="inlineStr"/>
      <c r="D29" t="inlineStr"/>
      <c r="E29" t="inlineStr"/>
      <c r="F29" t="inlineStr"/>
      <c r="G29">
        <f>IF(B29&gt;0,B29*10,0)+IF(C29&gt;0,C29*15,0)+IF(D29&gt;0,D29*1,0)+IF(E29&gt;0,E29*5,0)+IF(F29&gt;0,F29*2,0)</f>
        <v/>
      </c>
    </row>
    <row r="30">
      <c r="A30" t="n">
        <v>29</v>
      </c>
      <c r="B30" t="inlineStr"/>
      <c r="C30" t="inlineStr"/>
      <c r="D30" t="inlineStr"/>
      <c r="E30" t="inlineStr"/>
      <c r="F30" t="inlineStr"/>
      <c r="G30">
        <f>IF(B30&gt;0,B30*10,0)+IF(C30&gt;0,C30*15,0)+IF(D30&gt;0,D30*1,0)+IF(E30&gt;0,E30*5,0)+IF(F30&gt;0,F30*2,0)</f>
        <v/>
      </c>
    </row>
    <row r="31">
      <c r="A31" t="n">
        <v>30</v>
      </c>
      <c r="B31" t="inlineStr"/>
      <c r="C31" t="inlineStr"/>
      <c r="D31" t="inlineStr"/>
      <c r="E31" t="inlineStr"/>
      <c r="F31" t="inlineStr"/>
      <c r="G31">
        <f>IF(B31&gt;0,B31*10,0)+IF(C31&gt;0,C31*15,0)+IF(D31&gt;0,D31*1,0)+IF(E31&gt;0,E31*5,0)+IF(F31&gt;0,F31*2,0)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Séries</t>
        </is>
      </c>
      <c r="C1" t="inlineStr">
        <is>
          <t>Répétitions</t>
        </is>
      </c>
      <c r="D1" t="inlineStr">
        <is>
          <t>RPE</t>
        </is>
      </c>
      <c r="E1" t="inlineStr">
        <is>
          <t>Charge Utilisée (kg)</t>
        </is>
      </c>
      <c r="F1" t="inlineStr">
        <is>
          <t>1RM Estimée (kg)</t>
        </is>
      </c>
      <c r="G1" t="inlineStr">
        <is>
          <t>Charge Cible Auto (kg)</t>
        </is>
      </c>
    </row>
    <row r="2">
      <c r="F2">
        <f>IF(E2&gt;0,E2*(1+C2/30),"")</f>
        <v/>
      </c>
      <c r="G2">
        <f>IF(E2&gt;0,F2*CHOOSE(D2-4,0.80,0.84,0.88,0.92,0.96,1.00),"")</f>
        <v/>
      </c>
    </row>
    <row r="3">
      <c r="F3">
        <f>IF(E3&gt;0,E3*(1+C3/30),"")</f>
        <v/>
      </c>
      <c r="G3">
        <f>IF(E3&gt;0,F3*CHOOSE(D3-4,0.80,0.84,0.88,0.92,0.96,1.00),"")</f>
        <v/>
      </c>
    </row>
    <row r="4">
      <c r="F4">
        <f>IF(E4&gt;0,E4*(1+C4/30),"")</f>
        <v/>
      </c>
      <c r="G4">
        <f>IF(E4&gt;0,F4*CHOOSE(D4-4,0.80,0.84,0.88,0.92,0.96,1.00),"")</f>
        <v/>
      </c>
    </row>
    <row r="5">
      <c r="F5">
        <f>IF(E5&gt;0,E5*(1+C5/30),"")</f>
        <v/>
      </c>
      <c r="G5">
        <f>IF(E5&gt;0,F5*CHOOSE(D5-4,0.80,0.84,0.88,0.92,0.96,1.00),"")</f>
        <v/>
      </c>
    </row>
    <row r="6">
      <c r="F6">
        <f>IF(E6&gt;0,E6*(1+C6/30),"")</f>
        <v/>
      </c>
      <c r="G6">
        <f>IF(E6&gt;0,F6*CHOOSE(D6-4,0.80,0.84,0.88,0.92,0.96,1.00),"")</f>
        <v/>
      </c>
    </row>
    <row r="7">
      <c r="F7">
        <f>IF(E7&gt;0,E7*(1+C7/30),"")</f>
        <v/>
      </c>
      <c r="G7">
        <f>IF(E7&gt;0,F7*CHOOSE(D7-4,0.80,0.84,0.88,0.92,0.96,1.00),"")</f>
        <v/>
      </c>
    </row>
    <row r="8">
      <c r="F8">
        <f>IF(E8&gt;0,E8*(1+C8/30),"")</f>
        <v/>
      </c>
      <c r="G8">
        <f>IF(E8&gt;0,F8*CHOOSE(D8-4,0.80,0.84,0.88,0.92,0.96,1.00),"")</f>
        <v/>
      </c>
    </row>
    <row r="9">
      <c r="F9">
        <f>IF(E9&gt;0,E9*(1+C9/30),"")</f>
        <v/>
      </c>
      <c r="G9">
        <f>IF(E9&gt;0,F9*CHOOSE(D9-4,0.80,0.84,0.88,0.92,0.96,1.00),"")</f>
        <v/>
      </c>
    </row>
    <row r="10">
      <c r="F10">
        <f>IF(E10&gt;0,E10*(1+C10/30),"")</f>
        <v/>
      </c>
      <c r="G10">
        <f>IF(E10&gt;0,F10*CHOOSE(D10-4,0.80,0.84,0.88,0.92,0.96,1.00),"")</f>
        <v/>
      </c>
    </row>
    <row r="11">
      <c r="F11">
        <f>IF(E11&gt;0,E11*(1+C11/30),"")</f>
        <v/>
      </c>
      <c r="G11">
        <f>IF(E11&gt;0,F11*CHOOSE(D11-4,0.80,0.84,0.88,0.92,0.96,1.00),"")</f>
        <v/>
      </c>
    </row>
    <row r="12">
      <c r="F12">
        <f>IF(E12&gt;0,E12*(1+C12/30),"")</f>
        <v/>
      </c>
      <c r="G12">
        <f>IF(E12&gt;0,F12*CHOOSE(D12-4,0.80,0.84,0.88,0.92,0.96,1.00),"")</f>
        <v/>
      </c>
    </row>
    <row r="13">
      <c r="F13">
        <f>IF(E13&gt;0,E13*(1+C13/30),"")</f>
        <v/>
      </c>
      <c r="G13">
        <f>IF(E13&gt;0,F13*CHOOSE(D13-4,0.80,0.84,0.88,0.92,0.96,1.00),"")</f>
        <v/>
      </c>
    </row>
    <row r="14">
      <c r="F14">
        <f>IF(E14&gt;0,E14*(1+C14/30),"")</f>
        <v/>
      </c>
      <c r="G14">
        <f>IF(E14&gt;0,F14*CHOOSE(D14-4,0.80,0.84,0.88,0.92,0.96,1.00),"")</f>
        <v/>
      </c>
    </row>
    <row r="15">
      <c r="F15">
        <f>IF(E15&gt;0,E15*(1+C15/30),"")</f>
        <v/>
      </c>
      <c r="G15">
        <f>IF(E15&gt;0,F15*CHOOSE(D15-4,0.80,0.84,0.88,0.92,0.96,1.00),"")</f>
        <v/>
      </c>
    </row>
    <row r="16">
      <c r="F16">
        <f>IF(E16&gt;0,E16*(1+C16/30),"")</f>
        <v/>
      </c>
      <c r="G16">
        <f>IF(E16&gt;0,F16*CHOOSE(D16-4,0.80,0.84,0.88,0.92,0.96,1.00),"")</f>
        <v/>
      </c>
    </row>
    <row r="17">
      <c r="F17">
        <f>IF(E17&gt;0,E17*(1+C17/30),"")</f>
        <v/>
      </c>
      <c r="G17">
        <f>IF(E17&gt;0,F17*CHOOSE(D17-4,0.80,0.84,0.88,0.92,0.96,1.00),"")</f>
        <v/>
      </c>
    </row>
    <row r="18">
      <c r="F18">
        <f>IF(E18&gt;0,E18*(1+C18/30),"")</f>
        <v/>
      </c>
      <c r="G18">
        <f>IF(E18&gt;0,F18*CHOOSE(D18-4,0.80,0.84,0.88,0.92,0.96,1.00),"")</f>
        <v/>
      </c>
    </row>
    <row r="19">
      <c r="F19">
        <f>IF(E19&gt;0,E19*(1+C19/30),"")</f>
        <v/>
      </c>
      <c r="G19">
        <f>IF(E19&gt;0,F19*CHOOSE(D19-4,0.80,0.84,0.88,0.92,0.96,1.00),"")</f>
        <v/>
      </c>
    </row>
    <row r="20">
      <c r="F20">
        <f>IF(E20&gt;0,E20*(1+C20/30),"")</f>
        <v/>
      </c>
      <c r="G20">
        <f>IF(E20&gt;0,F20*CHOOSE(D20-4,0.80,0.84,0.88,0.92,0.96,1.00),"")</f>
        <v/>
      </c>
    </row>
    <row r="21">
      <c r="F21">
        <f>IF(E21&gt;0,E21*(1+C21/30),"")</f>
        <v/>
      </c>
      <c r="G21">
        <f>IF(E21&gt;0,F21*CHOOSE(D21-4,0.80,0.84,0.88,0.92,0.96,1.00),"")</f>
        <v/>
      </c>
    </row>
    <row r="22">
      <c r="F22">
        <f>IF(E22&gt;0,E22*(1+C22/30),"")</f>
        <v/>
      </c>
      <c r="G22">
        <f>IF(E22&gt;0,F22*CHOOSE(D22-4,0.80,0.84,0.88,0.92,0.96,1.00),"")</f>
        <v/>
      </c>
    </row>
    <row r="23">
      <c r="F23">
        <f>IF(E23&gt;0,E23*(1+C23/30),"")</f>
        <v/>
      </c>
      <c r="G23">
        <f>IF(E23&gt;0,F23*CHOOSE(D23-4,0.80,0.84,0.88,0.92,0.96,1.00),"")</f>
        <v/>
      </c>
    </row>
    <row r="24">
      <c r="F24">
        <f>IF(E24&gt;0,E24*(1+C24/30),"")</f>
        <v/>
      </c>
      <c r="G24">
        <f>IF(E24&gt;0,F24*CHOOSE(D24-4,0.80,0.84,0.88,0.92,0.96,1.00),"")</f>
        <v/>
      </c>
    </row>
    <row r="25">
      <c r="F25">
        <f>IF(E25&gt;0,E25*(1+C25/30),"")</f>
        <v/>
      </c>
      <c r="G25">
        <f>IF(E25&gt;0,F25*CHOOSE(D25-4,0.80,0.84,0.88,0.92,0.96,1.00),"")</f>
        <v/>
      </c>
    </row>
    <row r="26">
      <c r="F26">
        <f>IF(E26&gt;0,E26*(1+C26/30),"")</f>
        <v/>
      </c>
      <c r="G26">
        <f>IF(E26&gt;0,F26*CHOOSE(D26-4,0.80,0.84,0.88,0.92,0.96,1.00),"")</f>
        <v/>
      </c>
    </row>
    <row r="27">
      <c r="F27">
        <f>IF(E27&gt;0,E27*(1+C27/30),"")</f>
        <v/>
      </c>
      <c r="G27">
        <f>IF(E27&gt;0,F27*CHOOSE(D27-4,0.80,0.84,0.88,0.92,0.96,1.00),"")</f>
        <v/>
      </c>
    </row>
    <row r="28">
      <c r="F28">
        <f>IF(E28&gt;0,E28*(1+C28/30),"")</f>
        <v/>
      </c>
      <c r="G28">
        <f>IF(E28&gt;0,F28*CHOOSE(D28-4,0.80,0.84,0.88,0.92,0.96,1.00),"")</f>
        <v/>
      </c>
    </row>
    <row r="29">
      <c r="F29">
        <f>IF(E29&gt;0,E29*(1+C29/30),"")</f>
        <v/>
      </c>
      <c r="G29">
        <f>IF(E29&gt;0,F29*CHOOSE(D29-4,0.80,0.84,0.88,0.92,0.96,1.00),"")</f>
        <v/>
      </c>
    </row>
    <row r="30">
      <c r="F30">
        <f>IF(E30&gt;0,E30*(1+C30/30),"")</f>
        <v/>
      </c>
      <c r="G30">
        <f>IF(E30&gt;0,F30*CHOOSE(D30-4,0.80,0.84,0.88,0.92,0.96,1.00),"")</f>
        <v/>
      </c>
    </row>
    <row r="31">
      <c r="F31">
        <f>IF(E31&gt;0,E31*(1+C31/30),"")</f>
        <v/>
      </c>
      <c r="G31">
        <f>IF(E31&gt;0,F31*CHOOSE(D31-4,0.80,0.84,0.88,0.92,0.96,1.00),"")</f>
        <v/>
      </c>
    </row>
    <row r="32">
      <c r="F32">
        <f>IF(E32&gt;0,E32*(1+C32/30),"")</f>
        <v/>
      </c>
      <c r="G32">
        <f>IF(E32&gt;0,F32*CHOOSE(D32-4,0.80,0.84,0.88,0.92,0.96,1.00),"")</f>
        <v/>
      </c>
    </row>
    <row r="33">
      <c r="F33">
        <f>IF(E33&gt;0,E33*(1+C33/30),"")</f>
        <v/>
      </c>
      <c r="G33">
        <f>IF(E33&gt;0,F33*CHOOSE(D33-4,0.80,0.84,0.88,0.92,0.96,1.00),"")</f>
        <v/>
      </c>
    </row>
    <row r="34">
      <c r="F34">
        <f>IF(E34&gt;0,E34*(1+C34/30),"")</f>
        <v/>
      </c>
      <c r="G34">
        <f>IF(E34&gt;0,F34*CHOOSE(D34-4,0.80,0.84,0.88,0.92,0.96,1.00),"")</f>
        <v/>
      </c>
    </row>
    <row r="35">
      <c r="F35">
        <f>IF(E35&gt;0,E35*(1+C35/30),"")</f>
        <v/>
      </c>
      <c r="G35">
        <f>IF(E35&gt;0,F35*CHOOSE(D35-4,0.80,0.84,0.88,0.92,0.96,1.00),"")</f>
        <v/>
      </c>
    </row>
    <row r="36">
      <c r="F36">
        <f>IF(E36&gt;0,E36*(1+C36/30),"")</f>
        <v/>
      </c>
      <c r="G36">
        <f>IF(E36&gt;0,F36*CHOOSE(D36-4,0.80,0.84,0.88,0.92,0.96,1.00),"")</f>
        <v/>
      </c>
    </row>
    <row r="37">
      <c r="F37">
        <f>IF(E37&gt;0,E37*(1+C37/30),"")</f>
        <v/>
      </c>
      <c r="G37">
        <f>IF(E37&gt;0,F37*CHOOSE(D37-4,0.80,0.84,0.88,0.92,0.96,1.00),"")</f>
        <v/>
      </c>
    </row>
    <row r="38">
      <c r="F38">
        <f>IF(E38&gt;0,E38*(1+C38/30),"")</f>
        <v/>
      </c>
      <c r="G38">
        <f>IF(E38&gt;0,F38*CHOOSE(D38-4,0.80,0.84,0.88,0.92,0.96,1.00),"")</f>
        <v/>
      </c>
    </row>
    <row r="39">
      <c r="F39">
        <f>IF(E39&gt;0,E39*(1+C39/30),"")</f>
        <v/>
      </c>
      <c r="G39">
        <f>IF(E39&gt;0,F39*CHOOSE(D39-4,0.80,0.84,0.88,0.92,0.96,1.00),"")</f>
        <v/>
      </c>
    </row>
    <row r="40">
      <c r="F40">
        <f>IF(E40&gt;0,E40*(1+C40/30),"")</f>
        <v/>
      </c>
      <c r="G40">
        <f>IF(E40&gt;0,F40*CHOOSE(D40-4,0.80,0.84,0.88,0.92,0.96,1.00),"")</f>
        <v/>
      </c>
    </row>
    <row r="41">
      <c r="F41">
        <f>IF(E41&gt;0,E41*(1+C41/30),"")</f>
        <v/>
      </c>
      <c r="G41">
        <f>IF(E41&gt;0,F41*CHOOSE(D41-4,0.80,0.84,0.88,0.92,0.96,1.00),"")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1RM Réf (kg)</t>
        </is>
      </c>
      <c r="C1" t="inlineStr">
        <is>
          <t>RPE</t>
        </is>
      </c>
      <c r="D1" t="inlineStr">
        <is>
          <t>Charge Cible (kg)</t>
        </is>
      </c>
    </row>
    <row r="2">
      <c r="A2" t="inlineStr">
        <is>
          <t>Front Squat</t>
        </is>
      </c>
      <c r="B2" t="inlineStr"/>
      <c r="C2" t="n">
        <v>5</v>
      </c>
      <c r="D2">
        <f>IF(B2&gt;0, B2*CHOOSE(C2-4,0.80,0.84,0.88,0.92,0.96,1.00),"")</f>
        <v/>
      </c>
    </row>
    <row r="3">
      <c r="A3" t="inlineStr">
        <is>
          <t>Front Squat</t>
        </is>
      </c>
      <c r="B3" t="inlineStr"/>
      <c r="C3" t="n">
        <v>6</v>
      </c>
      <c r="D3">
        <f>IF(B3&gt;0, B3*CHOOSE(C3-4,0.80,0.84,0.88,0.92,0.96,1.00),"")</f>
        <v/>
      </c>
    </row>
    <row r="4">
      <c r="A4" t="inlineStr">
        <is>
          <t>Front Squat</t>
        </is>
      </c>
      <c r="B4" t="inlineStr"/>
      <c r="C4" t="n">
        <v>7</v>
      </c>
      <c r="D4">
        <f>IF(B4&gt;0, B4*CHOOSE(C4-4,0.80,0.84,0.88,0.92,0.96,1.00),"")</f>
        <v/>
      </c>
    </row>
    <row r="5">
      <c r="A5" t="inlineStr">
        <is>
          <t>Front Squat</t>
        </is>
      </c>
      <c r="B5" t="inlineStr"/>
      <c r="C5" t="n">
        <v>8</v>
      </c>
      <c r="D5">
        <f>IF(B5&gt;0, B5*CHOOSE(C5-4,0.80,0.84,0.88,0.92,0.96,1.00),"")</f>
        <v/>
      </c>
    </row>
    <row r="6">
      <c r="A6" t="inlineStr">
        <is>
          <t>Front Squat</t>
        </is>
      </c>
      <c r="B6" t="inlineStr"/>
      <c r="C6" t="n">
        <v>9</v>
      </c>
      <c r="D6">
        <f>IF(B6&gt;0, B6*CHOOSE(C6-4,0.80,0.84,0.88,0.92,0.96,1.00),"")</f>
        <v/>
      </c>
    </row>
    <row r="7">
      <c r="A7" t="inlineStr">
        <is>
          <t>Front Squat</t>
        </is>
      </c>
      <c r="B7" t="inlineStr"/>
      <c r="C7" t="n">
        <v>10</v>
      </c>
      <c r="D7">
        <f>IF(B7&gt;0, B7*CHOOSE(C7-4,0.80,0.84,0.88,0.92,0.96,1.00),"")</f>
        <v/>
      </c>
    </row>
    <row r="8">
      <c r="A8" t="inlineStr">
        <is>
          <t>Back Squat</t>
        </is>
      </c>
      <c r="B8" t="inlineStr"/>
      <c r="C8" t="n">
        <v>5</v>
      </c>
      <c r="D8">
        <f>IF(B8&gt;0, B8*CHOOSE(C8-4,0.80,0.84,0.88,0.92,0.96,1.00),"")</f>
        <v/>
      </c>
    </row>
    <row r="9">
      <c r="A9" t="inlineStr">
        <is>
          <t>Back Squat</t>
        </is>
      </c>
      <c r="B9" t="inlineStr"/>
      <c r="C9" t="n">
        <v>6</v>
      </c>
      <c r="D9">
        <f>IF(B9&gt;0, B9*CHOOSE(C9-4,0.80,0.84,0.88,0.92,0.96,1.00),"")</f>
        <v/>
      </c>
    </row>
    <row r="10">
      <c r="A10" t="inlineStr">
        <is>
          <t>Back Squat</t>
        </is>
      </c>
      <c r="B10" t="inlineStr"/>
      <c r="C10" t="n">
        <v>7</v>
      </c>
      <c r="D10">
        <f>IF(B10&gt;0, B10*CHOOSE(C10-4,0.80,0.84,0.88,0.92,0.96,1.00),"")</f>
        <v/>
      </c>
    </row>
    <row r="11">
      <c r="A11" t="inlineStr">
        <is>
          <t>Back Squat</t>
        </is>
      </c>
      <c r="B11" t="inlineStr"/>
      <c r="C11" t="n">
        <v>8</v>
      </c>
      <c r="D11">
        <f>IF(B11&gt;0, B11*CHOOSE(C11-4,0.80,0.84,0.88,0.92,0.96,1.00),"")</f>
        <v/>
      </c>
    </row>
    <row r="12">
      <c r="A12" t="inlineStr">
        <is>
          <t>Back Squat</t>
        </is>
      </c>
      <c r="B12" t="inlineStr"/>
      <c r="C12" t="n">
        <v>9</v>
      </c>
      <c r="D12">
        <f>IF(B12&gt;0, B12*CHOOSE(C12-4,0.80,0.84,0.88,0.92,0.96,1.00),"")</f>
        <v/>
      </c>
    </row>
    <row r="13">
      <c r="A13" t="inlineStr">
        <is>
          <t>Back Squat</t>
        </is>
      </c>
      <c r="B13" t="inlineStr"/>
      <c r="C13" t="n">
        <v>10</v>
      </c>
      <c r="D13">
        <f>IF(B13&gt;0, B13*CHOOSE(C13-4,0.80,0.84,0.88,0.92,0.96,1.00),"")</f>
        <v/>
      </c>
    </row>
    <row r="14">
      <c r="A14" t="inlineStr">
        <is>
          <t>Snatch Grip Deadlift</t>
        </is>
      </c>
      <c r="B14" t="inlineStr"/>
      <c r="C14" t="n">
        <v>5</v>
      </c>
      <c r="D14">
        <f>IF(B14&gt;0, B14*CHOOSE(C14-4,0.80,0.84,0.88,0.92,0.96,1.00),"")</f>
        <v/>
      </c>
    </row>
    <row r="15">
      <c r="A15" t="inlineStr">
        <is>
          <t>Snatch Grip Deadlift</t>
        </is>
      </c>
      <c r="B15" t="inlineStr"/>
      <c r="C15" t="n">
        <v>6</v>
      </c>
      <c r="D15">
        <f>IF(B15&gt;0, B15*CHOOSE(C15-4,0.80,0.84,0.88,0.92,0.96,1.00),"")</f>
        <v/>
      </c>
    </row>
    <row r="16">
      <c r="A16" t="inlineStr">
        <is>
          <t>Snatch Grip Deadlift</t>
        </is>
      </c>
      <c r="B16" t="inlineStr"/>
      <c r="C16" t="n">
        <v>7</v>
      </c>
      <c r="D16">
        <f>IF(B16&gt;0, B16*CHOOSE(C16-4,0.80,0.84,0.88,0.92,0.96,1.00),"")</f>
        <v/>
      </c>
    </row>
    <row r="17">
      <c r="A17" t="inlineStr">
        <is>
          <t>Snatch Grip Deadlift</t>
        </is>
      </c>
      <c r="B17" t="inlineStr"/>
      <c r="C17" t="n">
        <v>8</v>
      </c>
      <c r="D17">
        <f>IF(B17&gt;0, B17*CHOOSE(C17-4,0.80,0.84,0.88,0.92,0.96,1.00),"")</f>
        <v/>
      </c>
    </row>
    <row r="18">
      <c r="A18" t="inlineStr">
        <is>
          <t>Snatch Grip Deadlift</t>
        </is>
      </c>
      <c r="B18" t="inlineStr"/>
      <c r="C18" t="n">
        <v>9</v>
      </c>
      <c r="D18">
        <f>IF(B18&gt;0, B18*CHOOSE(C18-4,0.80,0.84,0.88,0.92,0.96,1.00),"")</f>
        <v/>
      </c>
    </row>
    <row r="19">
      <c r="A19" t="inlineStr">
        <is>
          <t>Snatch Grip Deadlift</t>
        </is>
      </c>
      <c r="B19" t="inlineStr"/>
      <c r="C19" t="n">
        <v>10</v>
      </c>
      <c r="D19">
        <f>IF(B19&gt;0, B19*CHOOSE(C19-4,0.80,0.84,0.88,0.92,0.96,1.00),"")</f>
        <v/>
      </c>
    </row>
    <row r="20">
      <c r="A20" t="inlineStr">
        <is>
          <t>Bulgarian Split Squat</t>
        </is>
      </c>
      <c r="B20" t="inlineStr"/>
      <c r="C20" t="n">
        <v>5</v>
      </c>
      <c r="D20">
        <f>IF(B20&gt;0, B20*CHOOSE(C20-4,0.80,0.84,0.88,0.92,0.96,1.00),"")</f>
        <v/>
      </c>
    </row>
    <row r="21">
      <c r="A21" t="inlineStr">
        <is>
          <t>Bulgarian Split Squat</t>
        </is>
      </c>
      <c r="B21" t="inlineStr"/>
      <c r="C21" t="n">
        <v>6</v>
      </c>
      <c r="D21">
        <f>IF(B21&gt;0, B21*CHOOSE(C21-4,0.80,0.84,0.88,0.92,0.96,1.00),"")</f>
        <v/>
      </c>
    </row>
    <row r="22">
      <c r="A22" t="inlineStr">
        <is>
          <t>Bulgarian Split Squat</t>
        </is>
      </c>
      <c r="B22" t="inlineStr"/>
      <c r="C22" t="n">
        <v>7</v>
      </c>
      <c r="D22">
        <f>IF(B22&gt;0, B22*CHOOSE(C22-4,0.80,0.84,0.88,0.92,0.96,1.00),"")</f>
        <v/>
      </c>
    </row>
    <row r="23">
      <c r="A23" t="inlineStr">
        <is>
          <t>Bulgarian Split Squat</t>
        </is>
      </c>
      <c r="B23" t="inlineStr"/>
      <c r="C23" t="n">
        <v>8</v>
      </c>
      <c r="D23">
        <f>IF(B23&gt;0, B23*CHOOSE(C23-4,0.80,0.84,0.88,0.92,0.96,1.00),"")</f>
        <v/>
      </c>
    </row>
    <row r="24">
      <c r="A24" t="inlineStr">
        <is>
          <t>Bulgarian Split Squat</t>
        </is>
      </c>
      <c r="B24" t="inlineStr"/>
      <c r="C24" t="n">
        <v>9</v>
      </c>
      <c r="D24">
        <f>IF(B24&gt;0, B24*CHOOSE(C24-4,0.80,0.84,0.88,0.92,0.96,1.00),"")</f>
        <v/>
      </c>
    </row>
    <row r="25">
      <c r="A25" t="inlineStr">
        <is>
          <t>Bulgarian Split Squat</t>
        </is>
      </c>
      <c r="B25" t="inlineStr"/>
      <c r="C25" t="n">
        <v>10</v>
      </c>
      <c r="D25">
        <f>IF(B25&gt;0, B25*CHOOSE(C25-4,0.80,0.84,0.88,0.92,0.96,1.00),"")</f>
        <v/>
      </c>
    </row>
    <row r="26">
      <c r="A26" t="inlineStr">
        <is>
          <t>Hack Squat</t>
        </is>
      </c>
      <c r="B26" t="inlineStr"/>
      <c r="C26" t="n">
        <v>5</v>
      </c>
      <c r="D26">
        <f>IF(B26&gt;0, B26*CHOOSE(C26-4,0.80,0.84,0.88,0.92,0.96,1.00),"")</f>
        <v/>
      </c>
    </row>
    <row r="27">
      <c r="A27" t="inlineStr">
        <is>
          <t>Hack Squat</t>
        </is>
      </c>
      <c r="B27" t="inlineStr"/>
      <c r="C27" t="n">
        <v>6</v>
      </c>
      <c r="D27">
        <f>IF(B27&gt;0, B27*CHOOSE(C27-4,0.80,0.84,0.88,0.92,0.96,1.00),"")</f>
        <v/>
      </c>
    </row>
    <row r="28">
      <c r="A28" t="inlineStr">
        <is>
          <t>Hack Squat</t>
        </is>
      </c>
      <c r="B28" t="inlineStr"/>
      <c r="C28" t="n">
        <v>7</v>
      </c>
      <c r="D28">
        <f>IF(B28&gt;0, B28*CHOOSE(C28-4,0.80,0.84,0.88,0.92,0.96,1.00),"")</f>
        <v/>
      </c>
    </row>
    <row r="29">
      <c r="A29" t="inlineStr">
        <is>
          <t>Hack Squat</t>
        </is>
      </c>
      <c r="B29" t="inlineStr"/>
      <c r="C29" t="n">
        <v>8</v>
      </c>
      <c r="D29">
        <f>IF(B29&gt;0, B29*CHOOSE(C29-4,0.80,0.84,0.88,0.92,0.96,1.00),"")</f>
        <v/>
      </c>
    </row>
    <row r="30">
      <c r="A30" t="inlineStr">
        <is>
          <t>Hack Squat</t>
        </is>
      </c>
      <c r="B30" t="inlineStr"/>
      <c r="C30" t="n">
        <v>9</v>
      </c>
      <c r="D30">
        <f>IF(B30&gt;0, B30*CHOOSE(C30-4,0.80,0.84,0.88,0.92,0.96,1.00),"")</f>
        <v/>
      </c>
    </row>
    <row r="31">
      <c r="A31" t="inlineStr">
        <is>
          <t>Hack Squat</t>
        </is>
      </c>
      <c r="B31" t="inlineStr"/>
      <c r="C31" t="n">
        <v>10</v>
      </c>
      <c r="D31">
        <f>IF(B31&gt;0, B31*CHOOSE(C31-4,0.80,0.84,0.88,0.92,0.96,1.00),"")</f>
        <v/>
      </c>
    </row>
    <row r="32">
      <c r="A32" t="inlineStr">
        <is>
          <t>Leg Press</t>
        </is>
      </c>
      <c r="B32" t="inlineStr"/>
      <c r="C32" t="n">
        <v>5</v>
      </c>
      <c r="D32">
        <f>IF(B32&gt;0, B32*CHOOSE(C32-4,0.80,0.84,0.88,0.92,0.96,1.00),"")</f>
        <v/>
      </c>
    </row>
    <row r="33">
      <c r="A33" t="inlineStr">
        <is>
          <t>Leg Press</t>
        </is>
      </c>
      <c r="B33" t="inlineStr"/>
      <c r="C33" t="n">
        <v>6</v>
      </c>
      <c r="D33">
        <f>IF(B33&gt;0, B33*CHOOSE(C33-4,0.80,0.84,0.88,0.92,0.96,1.00),"")</f>
        <v/>
      </c>
    </row>
    <row r="34">
      <c r="A34" t="inlineStr">
        <is>
          <t>Leg Press</t>
        </is>
      </c>
      <c r="B34" t="inlineStr"/>
      <c r="C34" t="n">
        <v>7</v>
      </c>
      <c r="D34">
        <f>IF(B34&gt;0, B34*CHOOSE(C34-4,0.80,0.84,0.88,0.92,0.96,1.00),"")</f>
        <v/>
      </c>
    </row>
    <row r="35">
      <c r="A35" t="inlineStr">
        <is>
          <t>Leg Press</t>
        </is>
      </c>
      <c r="B35" t="inlineStr"/>
      <c r="C35" t="n">
        <v>8</v>
      </c>
      <c r="D35">
        <f>IF(B35&gt;0, B35*CHOOSE(C35-4,0.80,0.84,0.88,0.92,0.96,1.00),"")</f>
        <v/>
      </c>
    </row>
    <row r="36">
      <c r="A36" t="inlineStr">
        <is>
          <t>Leg Press</t>
        </is>
      </c>
      <c r="B36" t="inlineStr"/>
      <c r="C36" t="n">
        <v>9</v>
      </c>
      <c r="D36">
        <f>IF(B36&gt;0, B36*CHOOSE(C36-4,0.80,0.84,0.88,0.92,0.96,1.00),"")</f>
        <v/>
      </c>
    </row>
    <row r="37">
      <c r="A37" t="inlineStr">
        <is>
          <t>Leg Press</t>
        </is>
      </c>
      <c r="B37" t="inlineStr"/>
      <c r="C37" t="n">
        <v>10</v>
      </c>
      <c r="D37">
        <f>IF(B37&gt;0, B37*CHOOSE(C37-4,0.80,0.84,0.88,0.92,0.96,1.00),"")</f>
        <v/>
      </c>
    </row>
    <row r="38">
      <c r="A38" t="inlineStr">
        <is>
          <t>Leg Extension</t>
        </is>
      </c>
      <c r="B38" t="inlineStr"/>
      <c r="C38" t="n">
        <v>5</v>
      </c>
      <c r="D38">
        <f>IF(B38&gt;0, B38*CHOOSE(C38-4,0.80,0.84,0.88,0.92,0.96,1.00),"")</f>
        <v/>
      </c>
    </row>
    <row r="39">
      <c r="A39" t="inlineStr">
        <is>
          <t>Leg Extension</t>
        </is>
      </c>
      <c r="B39" t="inlineStr"/>
      <c r="C39" t="n">
        <v>6</v>
      </c>
      <c r="D39">
        <f>IF(B39&gt;0, B39*CHOOSE(C39-4,0.80,0.84,0.88,0.92,0.96,1.00),"")</f>
        <v/>
      </c>
    </row>
    <row r="40">
      <c r="A40" t="inlineStr">
        <is>
          <t>Leg Extension</t>
        </is>
      </c>
      <c r="B40" t="inlineStr"/>
      <c r="C40" t="n">
        <v>7</v>
      </c>
      <c r="D40">
        <f>IF(B40&gt;0, B40*CHOOSE(C40-4,0.80,0.84,0.88,0.92,0.96,1.00),"")</f>
        <v/>
      </c>
    </row>
    <row r="41">
      <c r="A41" t="inlineStr">
        <is>
          <t>Leg Extension</t>
        </is>
      </c>
      <c r="B41" t="inlineStr"/>
      <c r="C41" t="n">
        <v>8</v>
      </c>
      <c r="D41">
        <f>IF(B41&gt;0, B41*CHOOSE(C41-4,0.80,0.84,0.88,0.92,0.96,1.00),"")</f>
        <v/>
      </c>
    </row>
    <row r="42">
      <c r="A42" t="inlineStr">
        <is>
          <t>Leg Extension</t>
        </is>
      </c>
      <c r="B42" t="inlineStr"/>
      <c r="C42" t="n">
        <v>9</v>
      </c>
      <c r="D42">
        <f>IF(B42&gt;0, B42*CHOOSE(C42-4,0.80,0.84,0.88,0.92,0.96,1.00),"")</f>
        <v/>
      </c>
    </row>
    <row r="43">
      <c r="A43" t="inlineStr">
        <is>
          <t>Leg Extension</t>
        </is>
      </c>
      <c r="B43" t="inlineStr"/>
      <c r="C43" t="n">
        <v>10</v>
      </c>
      <c r="D43">
        <f>IF(B43&gt;0, B43*CHOOSE(C43-4,0.80,0.84,0.88,0.92,0.96,1.00),"")</f>
        <v/>
      </c>
    </row>
    <row r="44">
      <c r="A44" t="inlineStr">
        <is>
          <t>Leg Curl</t>
        </is>
      </c>
      <c r="B44" t="inlineStr"/>
      <c r="C44" t="n">
        <v>5</v>
      </c>
      <c r="D44">
        <f>IF(B44&gt;0, B44*CHOOSE(C44-4,0.80,0.84,0.88,0.92,0.96,1.00),"")</f>
        <v/>
      </c>
    </row>
    <row r="45">
      <c r="A45" t="inlineStr">
        <is>
          <t>Leg Curl</t>
        </is>
      </c>
      <c r="B45" t="inlineStr"/>
      <c r="C45" t="n">
        <v>6</v>
      </c>
      <c r="D45">
        <f>IF(B45&gt;0, B45*CHOOSE(C45-4,0.80,0.84,0.88,0.92,0.96,1.00),"")</f>
        <v/>
      </c>
    </row>
    <row r="46">
      <c r="A46" t="inlineStr">
        <is>
          <t>Leg Curl</t>
        </is>
      </c>
      <c r="B46" t="inlineStr"/>
      <c r="C46" t="n">
        <v>7</v>
      </c>
      <c r="D46">
        <f>IF(B46&gt;0, B46*CHOOSE(C46-4,0.80,0.84,0.88,0.92,0.96,1.00),"")</f>
        <v/>
      </c>
    </row>
    <row r="47">
      <c r="A47" t="inlineStr">
        <is>
          <t>Leg Curl</t>
        </is>
      </c>
      <c r="B47" t="inlineStr"/>
      <c r="C47" t="n">
        <v>8</v>
      </c>
      <c r="D47">
        <f>IF(B47&gt;0, B47*CHOOSE(C47-4,0.80,0.84,0.88,0.92,0.96,1.00),"")</f>
        <v/>
      </c>
    </row>
    <row r="48">
      <c r="A48" t="inlineStr">
        <is>
          <t>Leg Curl</t>
        </is>
      </c>
      <c r="B48" t="inlineStr"/>
      <c r="C48" t="n">
        <v>9</v>
      </c>
      <c r="D48">
        <f>IF(B48&gt;0, B48*CHOOSE(C48-4,0.80,0.84,0.88,0.92,0.96,1.00),"")</f>
        <v/>
      </c>
    </row>
    <row r="49">
      <c r="A49" t="inlineStr">
        <is>
          <t>Leg Curl</t>
        </is>
      </c>
      <c r="B49" t="inlineStr"/>
      <c r="C49" t="n">
        <v>10</v>
      </c>
      <c r="D49">
        <f>IF(B49&gt;0, B49*CHOOSE(C49-4,0.80,0.84,0.88,0.92,0.96,1.00),"")</f>
        <v/>
      </c>
    </row>
    <row r="50">
      <c r="A50" t="inlineStr">
        <is>
          <t>Calf Raise</t>
        </is>
      </c>
      <c r="B50" t="inlineStr"/>
      <c r="C50" t="n">
        <v>5</v>
      </c>
      <c r="D50">
        <f>IF(B50&gt;0, B50*CHOOSE(C50-4,0.80,0.84,0.88,0.92,0.96,1.00),"")</f>
        <v/>
      </c>
    </row>
    <row r="51">
      <c r="A51" t="inlineStr">
        <is>
          <t>Calf Raise</t>
        </is>
      </c>
      <c r="B51" t="inlineStr"/>
      <c r="C51" t="n">
        <v>6</v>
      </c>
      <c r="D51">
        <f>IF(B51&gt;0, B51*CHOOSE(C51-4,0.80,0.84,0.88,0.92,0.96,1.00),"")</f>
        <v/>
      </c>
    </row>
    <row r="52">
      <c r="A52" t="inlineStr">
        <is>
          <t>Calf Raise</t>
        </is>
      </c>
      <c r="B52" t="inlineStr"/>
      <c r="C52" t="n">
        <v>7</v>
      </c>
      <c r="D52">
        <f>IF(B52&gt;0, B52*CHOOSE(C52-4,0.80,0.84,0.88,0.92,0.96,1.00),"")</f>
        <v/>
      </c>
    </row>
    <row r="53">
      <c r="A53" t="inlineStr">
        <is>
          <t>Calf Raise</t>
        </is>
      </c>
      <c r="B53" t="inlineStr"/>
      <c r="C53" t="n">
        <v>8</v>
      </c>
      <c r="D53">
        <f>IF(B53&gt;0, B53*CHOOSE(C53-4,0.80,0.84,0.88,0.92,0.96,1.00),"")</f>
        <v/>
      </c>
    </row>
    <row r="54">
      <c r="A54" t="inlineStr">
        <is>
          <t>Calf Raise</t>
        </is>
      </c>
      <c r="B54" t="inlineStr"/>
      <c r="C54" t="n">
        <v>9</v>
      </c>
      <c r="D54">
        <f>IF(B54&gt;0, B54*CHOOSE(C54-4,0.80,0.84,0.88,0.92,0.96,1.00),"")</f>
        <v/>
      </c>
    </row>
    <row r="55">
      <c r="A55" t="inlineStr">
        <is>
          <t>Calf Raise</t>
        </is>
      </c>
      <c r="B55" t="inlineStr"/>
      <c r="C55" t="n">
        <v>10</v>
      </c>
      <c r="D55">
        <f>IF(B55&gt;0, B55*CHOOSE(C55-4,0.80,0.84,0.88,0.92,0.96,1.00),"")</f>
        <v/>
      </c>
    </row>
    <row r="56">
      <c r="A56" t="inlineStr">
        <is>
          <t>Bench Press</t>
        </is>
      </c>
      <c r="B56" t="inlineStr"/>
      <c r="C56" t="n">
        <v>5</v>
      </c>
      <c r="D56">
        <f>IF(B56&gt;0, B56*CHOOSE(C56-4,0.80,0.84,0.88,0.92,0.96,1.00),"")</f>
        <v/>
      </c>
    </row>
    <row r="57">
      <c r="A57" t="inlineStr">
        <is>
          <t>Bench Press</t>
        </is>
      </c>
      <c r="B57" t="inlineStr"/>
      <c r="C57" t="n">
        <v>6</v>
      </c>
      <c r="D57">
        <f>IF(B57&gt;0, B57*CHOOSE(C57-4,0.80,0.84,0.88,0.92,0.96,1.00),"")</f>
        <v/>
      </c>
    </row>
    <row r="58">
      <c r="A58" t="inlineStr">
        <is>
          <t>Bench Press</t>
        </is>
      </c>
      <c r="B58" t="inlineStr"/>
      <c r="C58" t="n">
        <v>7</v>
      </c>
      <c r="D58">
        <f>IF(B58&gt;0, B58*CHOOSE(C58-4,0.80,0.84,0.88,0.92,0.96,1.00),"")</f>
        <v/>
      </c>
    </row>
    <row r="59">
      <c r="A59" t="inlineStr">
        <is>
          <t>Bench Press</t>
        </is>
      </c>
      <c r="B59" t="inlineStr"/>
      <c r="C59" t="n">
        <v>8</v>
      </c>
      <c r="D59">
        <f>IF(B59&gt;0, B59*CHOOSE(C59-4,0.80,0.84,0.88,0.92,0.96,1.00),"")</f>
        <v/>
      </c>
    </row>
    <row r="60">
      <c r="A60" t="inlineStr">
        <is>
          <t>Bench Press</t>
        </is>
      </c>
      <c r="B60" t="inlineStr"/>
      <c r="C60" t="n">
        <v>9</v>
      </c>
      <c r="D60">
        <f>IF(B60&gt;0, B60*CHOOSE(C60-4,0.80,0.84,0.88,0.92,0.96,1.00),"")</f>
        <v/>
      </c>
    </row>
    <row r="61">
      <c r="A61" t="inlineStr">
        <is>
          <t>Bench Press</t>
        </is>
      </c>
      <c r="B61" t="inlineStr"/>
      <c r="C61" t="n">
        <v>10</v>
      </c>
      <c r="D61">
        <f>IF(B61&gt;0, B61*CHOOSE(C61-4,0.80,0.84,0.88,0.92,0.96,1.00),"")</f>
        <v/>
      </c>
    </row>
    <row r="62">
      <c r="A62" t="inlineStr">
        <is>
          <t>Weighted Push-ups</t>
        </is>
      </c>
      <c r="B62" t="inlineStr"/>
      <c r="C62" t="n">
        <v>5</v>
      </c>
      <c r="D62">
        <f>IF(B62&gt;0, B62*CHOOSE(C62-4,0.80,0.84,0.88,0.92,0.96,1.00),"")</f>
        <v/>
      </c>
    </row>
    <row r="63">
      <c r="A63" t="inlineStr">
        <is>
          <t>Weighted Push-ups</t>
        </is>
      </c>
      <c r="B63" t="inlineStr"/>
      <c r="C63" t="n">
        <v>6</v>
      </c>
      <c r="D63">
        <f>IF(B63&gt;0, B63*CHOOSE(C63-4,0.80,0.84,0.88,0.92,0.96,1.00),"")</f>
        <v/>
      </c>
    </row>
    <row r="64">
      <c r="A64" t="inlineStr">
        <is>
          <t>Weighted Push-ups</t>
        </is>
      </c>
      <c r="B64" t="inlineStr"/>
      <c r="C64" t="n">
        <v>7</v>
      </c>
      <c r="D64">
        <f>IF(B64&gt;0, B64*CHOOSE(C64-4,0.80,0.84,0.88,0.92,0.96,1.00),"")</f>
        <v/>
      </c>
    </row>
    <row r="65">
      <c r="A65" t="inlineStr">
        <is>
          <t>Weighted Push-ups</t>
        </is>
      </c>
      <c r="B65" t="inlineStr"/>
      <c r="C65" t="n">
        <v>8</v>
      </c>
      <c r="D65">
        <f>IF(B65&gt;0, B65*CHOOSE(C65-4,0.80,0.84,0.88,0.92,0.96,1.00),"")</f>
        <v/>
      </c>
    </row>
    <row r="66">
      <c r="A66" t="inlineStr">
        <is>
          <t>Weighted Push-ups</t>
        </is>
      </c>
      <c r="B66" t="inlineStr"/>
      <c r="C66" t="n">
        <v>9</v>
      </c>
      <c r="D66">
        <f>IF(B66&gt;0, B66*CHOOSE(C66-4,0.80,0.84,0.88,0.92,0.96,1.00),"")</f>
        <v/>
      </c>
    </row>
    <row r="67">
      <c r="A67" t="inlineStr">
        <is>
          <t>Weighted Push-ups</t>
        </is>
      </c>
      <c r="B67" t="inlineStr"/>
      <c r="C67" t="n">
        <v>10</v>
      </c>
      <c r="D67">
        <f>IF(B67&gt;0, B67*CHOOSE(C67-4,0.80,0.84,0.88,0.92,0.96,1.00),"")</f>
        <v/>
      </c>
    </row>
    <row r="68">
      <c r="A68" t="inlineStr">
        <is>
          <t>Dips</t>
        </is>
      </c>
      <c r="B68" t="inlineStr"/>
      <c r="C68" t="n">
        <v>5</v>
      </c>
      <c r="D68">
        <f>IF(B68&gt;0, B68*CHOOSE(C68-4,0.80,0.84,0.88,0.92,0.96,1.00),"")</f>
        <v/>
      </c>
    </row>
    <row r="69">
      <c r="A69" t="inlineStr">
        <is>
          <t>Dips</t>
        </is>
      </c>
      <c r="B69" t="inlineStr"/>
      <c r="C69" t="n">
        <v>6</v>
      </c>
      <c r="D69">
        <f>IF(B69&gt;0, B69*CHOOSE(C69-4,0.80,0.84,0.88,0.92,0.96,1.00),"")</f>
        <v/>
      </c>
    </row>
    <row r="70">
      <c r="A70" t="inlineStr">
        <is>
          <t>Dips</t>
        </is>
      </c>
      <c r="B70" t="inlineStr"/>
      <c r="C70" t="n">
        <v>7</v>
      </c>
      <c r="D70">
        <f>IF(B70&gt;0, B70*CHOOSE(C70-4,0.80,0.84,0.88,0.92,0.96,1.00),"")</f>
        <v/>
      </c>
    </row>
    <row r="71">
      <c r="A71" t="inlineStr">
        <is>
          <t>Dips</t>
        </is>
      </c>
      <c r="B71" t="inlineStr"/>
      <c r="C71" t="n">
        <v>8</v>
      </c>
      <c r="D71">
        <f>IF(B71&gt;0, B71*CHOOSE(C71-4,0.80,0.84,0.88,0.92,0.96,1.00),"")</f>
        <v/>
      </c>
    </row>
    <row r="72">
      <c r="A72" t="inlineStr">
        <is>
          <t>Dips</t>
        </is>
      </c>
      <c r="B72" t="inlineStr"/>
      <c r="C72" t="n">
        <v>9</v>
      </c>
      <c r="D72">
        <f>IF(B72&gt;0, B72*CHOOSE(C72-4,0.80,0.84,0.88,0.92,0.96,1.00),"")</f>
        <v/>
      </c>
    </row>
    <row r="73">
      <c r="A73" t="inlineStr">
        <is>
          <t>Dips</t>
        </is>
      </c>
      <c r="B73" t="inlineStr"/>
      <c r="C73" t="n">
        <v>10</v>
      </c>
      <c r="D73">
        <f>IF(B73&gt;0, B73*CHOOSE(C73-4,0.80,0.84,0.88,0.92,0.96,1.00),"")</f>
        <v/>
      </c>
    </row>
    <row r="74">
      <c r="A74" t="inlineStr">
        <is>
          <t>Handstand Push-up</t>
        </is>
      </c>
      <c r="B74" t="inlineStr"/>
      <c r="C74" t="n">
        <v>5</v>
      </c>
      <c r="D74">
        <f>IF(B74&gt;0, B74*CHOOSE(C74-4,0.80,0.84,0.88,0.92,0.96,1.00),"")</f>
        <v/>
      </c>
    </row>
    <row r="75">
      <c r="A75" t="inlineStr">
        <is>
          <t>Handstand Push-up</t>
        </is>
      </c>
      <c r="B75" t="inlineStr"/>
      <c r="C75" t="n">
        <v>6</v>
      </c>
      <c r="D75">
        <f>IF(B75&gt;0, B75*CHOOSE(C75-4,0.80,0.84,0.88,0.92,0.96,1.00),"")</f>
        <v/>
      </c>
    </row>
    <row r="76">
      <c r="A76" t="inlineStr">
        <is>
          <t>Handstand Push-up</t>
        </is>
      </c>
      <c r="B76" t="inlineStr"/>
      <c r="C76" t="n">
        <v>7</v>
      </c>
      <c r="D76">
        <f>IF(B76&gt;0, B76*CHOOSE(C76-4,0.80,0.84,0.88,0.92,0.96,1.00),"")</f>
        <v/>
      </c>
    </row>
    <row r="77">
      <c r="A77" t="inlineStr">
        <is>
          <t>Handstand Push-up</t>
        </is>
      </c>
      <c r="B77" t="inlineStr"/>
      <c r="C77" t="n">
        <v>8</v>
      </c>
      <c r="D77">
        <f>IF(B77&gt;0, B77*CHOOSE(C77-4,0.80,0.84,0.88,0.92,0.96,1.00),"")</f>
        <v/>
      </c>
    </row>
    <row r="78">
      <c r="A78" t="inlineStr">
        <is>
          <t>Handstand Push-up</t>
        </is>
      </c>
      <c r="B78" t="inlineStr"/>
      <c r="C78" t="n">
        <v>9</v>
      </c>
      <c r="D78">
        <f>IF(B78&gt;0, B78*CHOOSE(C78-4,0.80,0.84,0.88,0.92,0.96,1.00),"")</f>
        <v/>
      </c>
    </row>
    <row r="79">
      <c r="A79" t="inlineStr">
        <is>
          <t>Handstand Push-up</t>
        </is>
      </c>
      <c r="B79" t="inlineStr"/>
      <c r="C79" t="n">
        <v>10</v>
      </c>
      <c r="D79">
        <f>IF(B79&gt;0, B79*CHOOSE(C79-4,0.80,0.84,0.88,0.92,0.96,1.00),"")</f>
        <v/>
      </c>
    </row>
    <row r="80">
      <c r="A80" t="inlineStr">
        <is>
          <t>Military Press</t>
        </is>
      </c>
      <c r="B80" t="inlineStr"/>
      <c r="C80" t="n">
        <v>5</v>
      </c>
      <c r="D80">
        <f>IF(B80&gt;0, B80*CHOOSE(C80-4,0.80,0.84,0.88,0.92,0.96,1.00),"")</f>
        <v/>
      </c>
    </row>
    <row r="81">
      <c r="A81" t="inlineStr">
        <is>
          <t>Military Press</t>
        </is>
      </c>
      <c r="B81" t="inlineStr"/>
      <c r="C81" t="n">
        <v>6</v>
      </c>
      <c r="D81">
        <f>IF(B81&gt;0, B81*CHOOSE(C81-4,0.80,0.84,0.88,0.92,0.96,1.00),"")</f>
        <v/>
      </c>
    </row>
    <row r="82">
      <c r="A82" t="inlineStr">
        <is>
          <t>Military Press</t>
        </is>
      </c>
      <c r="B82" t="inlineStr"/>
      <c r="C82" t="n">
        <v>7</v>
      </c>
      <c r="D82">
        <f>IF(B82&gt;0, B82*CHOOSE(C82-4,0.80,0.84,0.88,0.92,0.96,1.00),"")</f>
        <v/>
      </c>
    </row>
    <row r="83">
      <c r="A83" t="inlineStr">
        <is>
          <t>Military Press</t>
        </is>
      </c>
      <c r="B83" t="inlineStr"/>
      <c r="C83" t="n">
        <v>8</v>
      </c>
      <c r="D83">
        <f>IF(B83&gt;0, B83*CHOOSE(C83-4,0.80,0.84,0.88,0.92,0.96,1.00),"")</f>
        <v/>
      </c>
    </row>
    <row r="84">
      <c r="A84" t="inlineStr">
        <is>
          <t>Military Press</t>
        </is>
      </c>
      <c r="B84" t="inlineStr"/>
      <c r="C84" t="n">
        <v>9</v>
      </c>
      <c r="D84">
        <f>IF(B84&gt;0, B84*CHOOSE(C84-4,0.80,0.84,0.88,0.92,0.96,1.00),"")</f>
        <v/>
      </c>
    </row>
    <row r="85">
      <c r="A85" t="inlineStr">
        <is>
          <t>Military Press</t>
        </is>
      </c>
      <c r="B85" t="inlineStr"/>
      <c r="C85" t="n">
        <v>10</v>
      </c>
      <c r="D85">
        <f>IF(B85&gt;0, B85*CHOOSE(C85-4,0.80,0.84,0.88,0.92,0.96,1.00),"")</f>
        <v/>
      </c>
    </row>
    <row r="86">
      <c r="A86" t="inlineStr">
        <is>
          <t>Incline Fly</t>
        </is>
      </c>
      <c r="B86" t="inlineStr"/>
      <c r="C86" t="n">
        <v>5</v>
      </c>
      <c r="D86">
        <f>IF(B86&gt;0, B86*CHOOSE(C86-4,0.80,0.84,0.88,0.92,0.96,1.00),"")</f>
        <v/>
      </c>
    </row>
    <row r="87">
      <c r="A87" t="inlineStr">
        <is>
          <t>Incline Fly</t>
        </is>
      </c>
      <c r="B87" t="inlineStr"/>
      <c r="C87" t="n">
        <v>6</v>
      </c>
      <c r="D87">
        <f>IF(B87&gt;0, B87*CHOOSE(C87-4,0.80,0.84,0.88,0.92,0.96,1.00),"")</f>
        <v/>
      </c>
    </row>
    <row r="88">
      <c r="A88" t="inlineStr">
        <is>
          <t>Incline Fly</t>
        </is>
      </c>
      <c r="B88" t="inlineStr"/>
      <c r="C88" t="n">
        <v>7</v>
      </c>
      <c r="D88">
        <f>IF(B88&gt;0, B88*CHOOSE(C88-4,0.80,0.84,0.88,0.92,0.96,1.00),"")</f>
        <v/>
      </c>
    </row>
    <row r="89">
      <c r="A89" t="inlineStr">
        <is>
          <t>Incline Fly</t>
        </is>
      </c>
      <c r="B89" t="inlineStr"/>
      <c r="C89" t="n">
        <v>8</v>
      </c>
      <c r="D89">
        <f>IF(B89&gt;0, B89*CHOOSE(C89-4,0.80,0.84,0.88,0.92,0.96,1.00),"")</f>
        <v/>
      </c>
    </row>
    <row r="90">
      <c r="A90" t="inlineStr">
        <is>
          <t>Incline Fly</t>
        </is>
      </c>
      <c r="B90" t="inlineStr"/>
      <c r="C90" t="n">
        <v>9</v>
      </c>
      <c r="D90">
        <f>IF(B90&gt;0, B90*CHOOSE(C90-4,0.80,0.84,0.88,0.92,0.96,1.00),"")</f>
        <v/>
      </c>
    </row>
    <row r="91">
      <c r="A91" t="inlineStr">
        <is>
          <t>Incline Fly</t>
        </is>
      </c>
      <c r="B91" t="inlineStr"/>
      <c r="C91" t="n">
        <v>10</v>
      </c>
      <c r="D91">
        <f>IF(B91&gt;0, B91*CHOOSE(C91-4,0.80,0.84,0.88,0.92,0.96,1.00),"")</f>
        <v/>
      </c>
    </row>
    <row r="92">
      <c r="A92" t="inlineStr">
        <is>
          <t>Lateral Raise</t>
        </is>
      </c>
      <c r="B92" t="inlineStr"/>
      <c r="C92" t="n">
        <v>5</v>
      </c>
      <c r="D92">
        <f>IF(B92&gt;0, B92*CHOOSE(C92-4,0.80,0.84,0.88,0.92,0.96,1.00),"")</f>
        <v/>
      </c>
    </row>
    <row r="93">
      <c r="A93" t="inlineStr">
        <is>
          <t>Lateral Raise</t>
        </is>
      </c>
      <c r="B93" t="inlineStr"/>
      <c r="C93" t="n">
        <v>6</v>
      </c>
      <c r="D93">
        <f>IF(B93&gt;0, B93*CHOOSE(C93-4,0.80,0.84,0.88,0.92,0.96,1.00),"")</f>
        <v/>
      </c>
    </row>
    <row r="94">
      <c r="A94" t="inlineStr">
        <is>
          <t>Lateral Raise</t>
        </is>
      </c>
      <c r="B94" t="inlineStr"/>
      <c r="C94" t="n">
        <v>7</v>
      </c>
      <c r="D94">
        <f>IF(B94&gt;0, B94*CHOOSE(C94-4,0.80,0.84,0.88,0.92,0.96,1.00),"")</f>
        <v/>
      </c>
    </row>
    <row r="95">
      <c r="A95" t="inlineStr">
        <is>
          <t>Lateral Raise</t>
        </is>
      </c>
      <c r="B95" t="inlineStr"/>
      <c r="C95" t="n">
        <v>8</v>
      </c>
      <c r="D95">
        <f>IF(B95&gt;0, B95*CHOOSE(C95-4,0.80,0.84,0.88,0.92,0.96,1.00),"")</f>
        <v/>
      </c>
    </row>
    <row r="96">
      <c r="A96" t="inlineStr">
        <is>
          <t>Lateral Raise</t>
        </is>
      </c>
      <c r="B96" t="inlineStr"/>
      <c r="C96" t="n">
        <v>9</v>
      </c>
      <c r="D96">
        <f>IF(B96&gt;0, B96*CHOOSE(C96-4,0.80,0.84,0.88,0.92,0.96,1.00),"")</f>
        <v/>
      </c>
    </row>
    <row r="97">
      <c r="A97" t="inlineStr">
        <is>
          <t>Lateral Raise</t>
        </is>
      </c>
      <c r="B97" t="inlineStr"/>
      <c r="C97" t="n">
        <v>10</v>
      </c>
      <c r="D97">
        <f>IF(B97&gt;0, B97*CHOOSE(C97-4,0.80,0.84,0.88,0.92,0.96,1.00),"")</f>
        <v/>
      </c>
    </row>
    <row r="98">
      <c r="A98" t="inlineStr">
        <is>
          <t>Triceps Extension</t>
        </is>
      </c>
      <c r="B98" t="inlineStr"/>
      <c r="C98" t="n">
        <v>5</v>
      </c>
      <c r="D98">
        <f>IF(B98&gt;0, B98*CHOOSE(C98-4,0.80,0.84,0.88,0.92,0.96,1.00),"")</f>
        <v/>
      </c>
    </row>
    <row r="99">
      <c r="A99" t="inlineStr">
        <is>
          <t>Triceps Extension</t>
        </is>
      </c>
      <c r="B99" t="inlineStr"/>
      <c r="C99" t="n">
        <v>6</v>
      </c>
      <c r="D99">
        <f>IF(B99&gt;0, B99*CHOOSE(C99-4,0.80,0.84,0.88,0.92,0.96,1.00),"")</f>
        <v/>
      </c>
    </row>
    <row r="100">
      <c r="A100" t="inlineStr">
        <is>
          <t>Triceps Extension</t>
        </is>
      </c>
      <c r="B100" t="inlineStr"/>
      <c r="C100" t="n">
        <v>7</v>
      </c>
      <c r="D100">
        <f>IF(B100&gt;0, B100*CHOOSE(C100-4,0.80,0.84,0.88,0.92,0.96,1.00),"")</f>
        <v/>
      </c>
    </row>
    <row r="101">
      <c r="A101" t="inlineStr">
        <is>
          <t>Triceps Extension</t>
        </is>
      </c>
      <c r="B101" t="inlineStr"/>
      <c r="C101" t="n">
        <v>8</v>
      </c>
      <c r="D101">
        <f>IF(B101&gt;0, B101*CHOOSE(C101-4,0.80,0.84,0.88,0.92,0.96,1.00),"")</f>
        <v/>
      </c>
    </row>
    <row r="102">
      <c r="A102" t="inlineStr">
        <is>
          <t>Triceps Extension</t>
        </is>
      </c>
      <c r="B102" t="inlineStr"/>
      <c r="C102" t="n">
        <v>9</v>
      </c>
      <c r="D102">
        <f>IF(B102&gt;0, B102*CHOOSE(C102-4,0.80,0.84,0.88,0.92,0.96,1.00),"")</f>
        <v/>
      </c>
    </row>
    <row r="103">
      <c r="A103" t="inlineStr">
        <is>
          <t>Triceps Extension</t>
        </is>
      </c>
      <c r="B103" t="inlineStr"/>
      <c r="C103" t="n">
        <v>10</v>
      </c>
      <c r="D103">
        <f>IF(B103&gt;0, B103*CHOOSE(C103-4,0.80,0.84,0.88,0.92,0.96,1.00),"")</f>
        <v/>
      </c>
    </row>
    <row r="104">
      <c r="A104" t="inlineStr">
        <is>
          <t>Weighted Pull-up</t>
        </is>
      </c>
      <c r="B104" t="inlineStr"/>
      <c r="C104" t="n">
        <v>5</v>
      </c>
      <c r="D104">
        <f>IF(B104&gt;0, B104*CHOOSE(C104-4,0.80,0.84,0.88,0.92,0.96,1.00),"")</f>
        <v/>
      </c>
    </row>
    <row r="105">
      <c r="A105" t="inlineStr">
        <is>
          <t>Weighted Pull-up</t>
        </is>
      </c>
      <c r="B105" t="inlineStr"/>
      <c r="C105" t="n">
        <v>6</v>
      </c>
      <c r="D105">
        <f>IF(B105&gt;0, B105*CHOOSE(C105-4,0.80,0.84,0.88,0.92,0.96,1.00),"")</f>
        <v/>
      </c>
    </row>
    <row r="106">
      <c r="A106" t="inlineStr">
        <is>
          <t>Weighted Pull-up</t>
        </is>
      </c>
      <c r="B106" t="inlineStr"/>
      <c r="C106" t="n">
        <v>7</v>
      </c>
      <c r="D106">
        <f>IF(B106&gt;0, B106*CHOOSE(C106-4,0.80,0.84,0.88,0.92,0.96,1.00),"")</f>
        <v/>
      </c>
    </row>
    <row r="107">
      <c r="A107" t="inlineStr">
        <is>
          <t>Weighted Pull-up</t>
        </is>
      </c>
      <c r="B107" t="inlineStr"/>
      <c r="C107" t="n">
        <v>8</v>
      </c>
      <c r="D107">
        <f>IF(B107&gt;0, B107*CHOOSE(C107-4,0.80,0.84,0.88,0.92,0.96,1.00),"")</f>
        <v/>
      </c>
    </row>
    <row r="108">
      <c r="A108" t="inlineStr">
        <is>
          <t>Weighted Pull-up</t>
        </is>
      </c>
      <c r="B108" t="inlineStr"/>
      <c r="C108" t="n">
        <v>9</v>
      </c>
      <c r="D108">
        <f>IF(B108&gt;0, B108*CHOOSE(C108-4,0.80,0.84,0.88,0.92,0.96,1.00),"")</f>
        <v/>
      </c>
    </row>
    <row r="109">
      <c r="A109" t="inlineStr">
        <is>
          <t>Weighted Pull-up</t>
        </is>
      </c>
      <c r="B109" t="inlineStr"/>
      <c r="C109" t="n">
        <v>10</v>
      </c>
      <c r="D109">
        <f>IF(B109&gt;0, B109*CHOOSE(C109-4,0.80,0.84,0.88,0.92,0.96,1.00),"")</f>
        <v/>
      </c>
    </row>
    <row r="110">
      <c r="A110" t="inlineStr">
        <is>
          <t>Rowing</t>
        </is>
      </c>
      <c r="B110" t="inlineStr"/>
      <c r="C110" t="n">
        <v>5</v>
      </c>
      <c r="D110">
        <f>IF(B110&gt;0, B110*CHOOSE(C110-4,0.80,0.84,0.88,0.92,0.96,1.00),"")</f>
        <v/>
      </c>
    </row>
    <row r="111">
      <c r="A111" t="inlineStr">
        <is>
          <t>Rowing</t>
        </is>
      </c>
      <c r="B111" t="inlineStr"/>
      <c r="C111" t="n">
        <v>6</v>
      </c>
      <c r="D111">
        <f>IF(B111&gt;0, B111*CHOOSE(C111-4,0.80,0.84,0.88,0.92,0.96,1.00),"")</f>
        <v/>
      </c>
    </row>
    <row r="112">
      <c r="A112" t="inlineStr">
        <is>
          <t>Rowing</t>
        </is>
      </c>
      <c r="B112" t="inlineStr"/>
      <c r="C112" t="n">
        <v>7</v>
      </c>
      <c r="D112">
        <f>IF(B112&gt;0, B112*CHOOSE(C112-4,0.80,0.84,0.88,0.92,0.96,1.00),"")</f>
        <v/>
      </c>
    </row>
    <row r="113">
      <c r="A113" t="inlineStr">
        <is>
          <t>Rowing</t>
        </is>
      </c>
      <c r="B113" t="inlineStr"/>
      <c r="C113" t="n">
        <v>8</v>
      </c>
      <c r="D113">
        <f>IF(B113&gt;0, B113*CHOOSE(C113-4,0.80,0.84,0.88,0.92,0.96,1.00),"")</f>
        <v/>
      </c>
    </row>
    <row r="114">
      <c r="A114" t="inlineStr">
        <is>
          <t>Rowing</t>
        </is>
      </c>
      <c r="B114" t="inlineStr"/>
      <c r="C114" t="n">
        <v>9</v>
      </c>
      <c r="D114">
        <f>IF(B114&gt;0, B114*CHOOSE(C114-4,0.80,0.84,0.88,0.92,0.96,1.00),"")</f>
        <v/>
      </c>
    </row>
    <row r="115">
      <c r="A115" t="inlineStr">
        <is>
          <t>Rowing</t>
        </is>
      </c>
      <c r="B115" t="inlineStr"/>
      <c r="C115" t="n">
        <v>10</v>
      </c>
      <c r="D115">
        <f>IF(B115&gt;0, B115*CHOOSE(C115-4,0.80,0.84,0.88,0.92,0.96,1.00),"")</f>
        <v/>
      </c>
    </row>
    <row r="116">
      <c r="A116" t="inlineStr">
        <is>
          <t>Good Morning</t>
        </is>
      </c>
      <c r="B116" t="inlineStr"/>
      <c r="C116" t="n">
        <v>5</v>
      </c>
      <c r="D116">
        <f>IF(B116&gt;0, B116*CHOOSE(C116-4,0.80,0.84,0.88,0.92,0.96,1.00),"")</f>
        <v/>
      </c>
    </row>
    <row r="117">
      <c r="A117" t="inlineStr">
        <is>
          <t>Good Morning</t>
        </is>
      </c>
      <c r="B117" t="inlineStr"/>
      <c r="C117" t="n">
        <v>6</v>
      </c>
      <c r="D117">
        <f>IF(B117&gt;0, B117*CHOOSE(C117-4,0.80,0.84,0.88,0.92,0.96,1.00),"")</f>
        <v/>
      </c>
    </row>
    <row r="118">
      <c r="A118" t="inlineStr">
        <is>
          <t>Good Morning</t>
        </is>
      </c>
      <c r="B118" t="inlineStr"/>
      <c r="C118" t="n">
        <v>7</v>
      </c>
      <c r="D118">
        <f>IF(B118&gt;0, B118*CHOOSE(C118-4,0.80,0.84,0.88,0.92,0.96,1.00),"")</f>
        <v/>
      </c>
    </row>
    <row r="119">
      <c r="A119" t="inlineStr">
        <is>
          <t>Good Morning</t>
        </is>
      </c>
      <c r="B119" t="inlineStr"/>
      <c r="C119" t="n">
        <v>8</v>
      </c>
      <c r="D119">
        <f>IF(B119&gt;0, B119*CHOOSE(C119-4,0.80,0.84,0.88,0.92,0.96,1.00),"")</f>
        <v/>
      </c>
    </row>
    <row r="120">
      <c r="A120" t="inlineStr">
        <is>
          <t>Good Morning</t>
        </is>
      </c>
      <c r="B120" t="inlineStr"/>
      <c r="C120" t="n">
        <v>9</v>
      </c>
      <c r="D120">
        <f>IF(B120&gt;0, B120*CHOOSE(C120-4,0.80,0.84,0.88,0.92,0.96,1.00),"")</f>
        <v/>
      </c>
    </row>
    <row r="121">
      <c r="A121" t="inlineStr">
        <is>
          <t>Good Morning</t>
        </is>
      </c>
      <c r="B121" t="inlineStr"/>
      <c r="C121" t="n">
        <v>10</v>
      </c>
      <c r="D121">
        <f>IF(B121&gt;0, B121*CHOOSE(C121-4,0.80,0.84,0.88,0.92,0.96,1.00),"")</f>
        <v/>
      </c>
    </row>
    <row r="122">
      <c r="A122" t="inlineStr">
        <is>
          <t>Muscle-up</t>
        </is>
      </c>
      <c r="B122" t="inlineStr"/>
      <c r="C122" t="n">
        <v>5</v>
      </c>
      <c r="D122">
        <f>IF(B122&gt;0, B122*CHOOSE(C122-4,0.80,0.84,0.88,0.92,0.96,1.00),"")</f>
        <v/>
      </c>
    </row>
    <row r="123">
      <c r="A123" t="inlineStr">
        <is>
          <t>Muscle-up</t>
        </is>
      </c>
      <c r="B123" t="inlineStr"/>
      <c r="C123" t="n">
        <v>6</v>
      </c>
      <c r="D123">
        <f>IF(B123&gt;0, B123*CHOOSE(C123-4,0.80,0.84,0.88,0.92,0.96,1.00),"")</f>
        <v/>
      </c>
    </row>
    <row r="124">
      <c r="A124" t="inlineStr">
        <is>
          <t>Muscle-up</t>
        </is>
      </c>
      <c r="B124" t="inlineStr"/>
      <c r="C124" t="n">
        <v>7</v>
      </c>
      <c r="D124">
        <f>IF(B124&gt;0, B124*CHOOSE(C124-4,0.80,0.84,0.88,0.92,0.96,1.00),"")</f>
        <v/>
      </c>
    </row>
    <row r="125">
      <c r="A125" t="inlineStr">
        <is>
          <t>Muscle-up</t>
        </is>
      </c>
      <c r="B125" t="inlineStr"/>
      <c r="C125" t="n">
        <v>8</v>
      </c>
      <c r="D125">
        <f>IF(B125&gt;0, B125*CHOOSE(C125-4,0.80,0.84,0.88,0.92,0.96,1.00),"")</f>
        <v/>
      </c>
    </row>
    <row r="126">
      <c r="A126" t="inlineStr">
        <is>
          <t>Muscle-up</t>
        </is>
      </c>
      <c r="B126" t="inlineStr"/>
      <c r="C126" t="n">
        <v>9</v>
      </c>
      <c r="D126">
        <f>IF(B126&gt;0, B126*CHOOSE(C126-4,0.80,0.84,0.88,0.92,0.96,1.00),"")</f>
        <v/>
      </c>
    </row>
    <row r="127">
      <c r="A127" t="inlineStr">
        <is>
          <t>Muscle-up</t>
        </is>
      </c>
      <c r="B127" t="inlineStr"/>
      <c r="C127" t="n">
        <v>10</v>
      </c>
      <c r="D127">
        <f>IF(B127&gt;0, B127*CHOOSE(C127-4,0.80,0.84,0.88,0.92,0.96,1.00),"")</f>
        <v/>
      </c>
    </row>
    <row r="128">
      <c r="A128" t="inlineStr">
        <is>
          <t>Lat Pulldown</t>
        </is>
      </c>
      <c r="B128" t="inlineStr"/>
      <c r="C128" t="n">
        <v>5</v>
      </c>
      <c r="D128">
        <f>IF(B128&gt;0, B128*CHOOSE(C128-4,0.80,0.84,0.88,0.92,0.96,1.00),"")</f>
        <v/>
      </c>
    </row>
    <row r="129">
      <c r="A129" t="inlineStr">
        <is>
          <t>Lat Pulldown</t>
        </is>
      </c>
      <c r="B129" t="inlineStr"/>
      <c r="C129" t="n">
        <v>6</v>
      </c>
      <c r="D129">
        <f>IF(B129&gt;0, B129*CHOOSE(C129-4,0.80,0.84,0.88,0.92,0.96,1.00),"")</f>
        <v/>
      </c>
    </row>
    <row r="130">
      <c r="A130" t="inlineStr">
        <is>
          <t>Lat Pulldown</t>
        </is>
      </c>
      <c r="B130" t="inlineStr"/>
      <c r="C130" t="n">
        <v>7</v>
      </c>
      <c r="D130">
        <f>IF(B130&gt;0, B130*CHOOSE(C130-4,0.80,0.84,0.88,0.92,0.96,1.00),"")</f>
        <v/>
      </c>
    </row>
    <row r="131">
      <c r="A131" t="inlineStr">
        <is>
          <t>Lat Pulldown</t>
        </is>
      </c>
      <c r="B131" t="inlineStr"/>
      <c r="C131" t="n">
        <v>8</v>
      </c>
      <c r="D131">
        <f>IF(B131&gt;0, B131*CHOOSE(C131-4,0.80,0.84,0.88,0.92,0.96,1.00),"")</f>
        <v/>
      </c>
    </row>
    <row r="132">
      <c r="A132" t="inlineStr">
        <is>
          <t>Lat Pulldown</t>
        </is>
      </c>
      <c r="B132" t="inlineStr"/>
      <c r="C132" t="n">
        <v>9</v>
      </c>
      <c r="D132">
        <f>IF(B132&gt;0, B132*CHOOSE(C132-4,0.80,0.84,0.88,0.92,0.96,1.00),"")</f>
        <v/>
      </c>
    </row>
    <row r="133">
      <c r="A133" t="inlineStr">
        <is>
          <t>Lat Pulldown</t>
        </is>
      </c>
      <c r="B133" t="inlineStr"/>
      <c r="C133" t="n">
        <v>10</v>
      </c>
      <c r="D133">
        <f>IF(B133&gt;0, B133*CHOOSE(C133-4,0.80,0.84,0.88,0.92,0.96,1.00),"")</f>
        <v/>
      </c>
    </row>
    <row r="134">
      <c r="A134" t="inlineStr">
        <is>
          <t>Biceps Curl</t>
        </is>
      </c>
      <c r="B134" t="inlineStr"/>
      <c r="C134" t="n">
        <v>5</v>
      </c>
      <c r="D134">
        <f>IF(B134&gt;0, B134*CHOOSE(C134-4,0.80,0.84,0.88,0.92,0.96,1.00),"")</f>
        <v/>
      </c>
    </row>
    <row r="135">
      <c r="A135" t="inlineStr">
        <is>
          <t>Biceps Curl</t>
        </is>
      </c>
      <c r="B135" t="inlineStr"/>
      <c r="C135" t="n">
        <v>6</v>
      </c>
      <c r="D135">
        <f>IF(B135&gt;0, B135*CHOOSE(C135-4,0.80,0.84,0.88,0.92,0.96,1.00),"")</f>
        <v/>
      </c>
    </row>
    <row r="136">
      <c r="A136" t="inlineStr">
        <is>
          <t>Biceps Curl</t>
        </is>
      </c>
      <c r="B136" t="inlineStr"/>
      <c r="C136" t="n">
        <v>7</v>
      </c>
      <c r="D136">
        <f>IF(B136&gt;0, B136*CHOOSE(C136-4,0.80,0.84,0.88,0.92,0.96,1.00),"")</f>
        <v/>
      </c>
    </row>
    <row r="137">
      <c r="A137" t="inlineStr">
        <is>
          <t>Biceps Curl</t>
        </is>
      </c>
      <c r="B137" t="inlineStr"/>
      <c r="C137" t="n">
        <v>8</v>
      </c>
      <c r="D137">
        <f>IF(B137&gt;0, B137*CHOOSE(C137-4,0.80,0.84,0.88,0.92,0.96,1.00),"")</f>
        <v/>
      </c>
    </row>
    <row r="138">
      <c r="A138" t="inlineStr">
        <is>
          <t>Biceps Curl</t>
        </is>
      </c>
      <c r="B138" t="inlineStr"/>
      <c r="C138" t="n">
        <v>9</v>
      </c>
      <c r="D138">
        <f>IF(B138&gt;0, B138*CHOOSE(C138-4,0.80,0.84,0.88,0.92,0.96,1.00),"")</f>
        <v/>
      </c>
    </row>
    <row r="139">
      <c r="A139" t="inlineStr">
        <is>
          <t>Biceps Curl</t>
        </is>
      </c>
      <c r="B139" t="inlineStr"/>
      <c r="C139" t="n">
        <v>10</v>
      </c>
      <c r="D139">
        <f>IF(B139&gt;0, B139*CHOOSE(C139-4,0.80,0.84,0.88,0.92,0.96,1.00),"")</f>
        <v/>
      </c>
    </row>
    <row r="140">
      <c r="A140" t="inlineStr">
        <is>
          <t>Face Pull</t>
        </is>
      </c>
      <c r="B140" t="inlineStr"/>
      <c r="C140" t="n">
        <v>5</v>
      </c>
      <c r="D140">
        <f>IF(B140&gt;0, B140*CHOOSE(C140-4,0.80,0.84,0.88,0.92,0.96,1.00),"")</f>
        <v/>
      </c>
    </row>
    <row r="141">
      <c r="A141" t="inlineStr">
        <is>
          <t>Face Pull</t>
        </is>
      </c>
      <c r="B141" t="inlineStr"/>
      <c r="C141" t="n">
        <v>6</v>
      </c>
      <c r="D141">
        <f>IF(B141&gt;0, B141*CHOOSE(C141-4,0.80,0.84,0.88,0.92,0.96,1.00),"")</f>
        <v/>
      </c>
    </row>
    <row r="142">
      <c r="A142" t="inlineStr">
        <is>
          <t>Face Pull</t>
        </is>
      </c>
      <c r="B142" t="inlineStr"/>
      <c r="C142" t="n">
        <v>7</v>
      </c>
      <c r="D142">
        <f>IF(B142&gt;0, B142*CHOOSE(C142-4,0.80,0.84,0.88,0.92,0.96,1.00),"")</f>
        <v/>
      </c>
    </row>
    <row r="143">
      <c r="A143" t="inlineStr">
        <is>
          <t>Face Pull</t>
        </is>
      </c>
      <c r="B143" t="inlineStr"/>
      <c r="C143" t="n">
        <v>8</v>
      </c>
      <c r="D143">
        <f>IF(B143&gt;0, B143*CHOOSE(C143-4,0.80,0.84,0.88,0.92,0.96,1.00),"")</f>
        <v/>
      </c>
    </row>
    <row r="144">
      <c r="A144" t="inlineStr">
        <is>
          <t>Face Pull</t>
        </is>
      </c>
      <c r="B144" t="inlineStr"/>
      <c r="C144" t="n">
        <v>9</v>
      </c>
      <c r="D144">
        <f>IF(B144&gt;0, B144*CHOOSE(C144-4,0.80,0.84,0.88,0.92,0.96,1.00),"")</f>
        <v/>
      </c>
    </row>
    <row r="145">
      <c r="A145" t="inlineStr">
        <is>
          <t>Face Pull</t>
        </is>
      </c>
      <c r="B145" t="inlineStr"/>
      <c r="C145" t="n">
        <v>10</v>
      </c>
      <c r="D145">
        <f>IF(B145&gt;0, B145*CHOOSE(C145-4,0.80,0.84,0.88,0.92,0.96,1.00),"")</f>
        <v/>
      </c>
    </row>
    <row r="146">
      <c r="A146" t="inlineStr">
        <is>
          <t>Belt Squat</t>
        </is>
      </c>
      <c r="B146" t="inlineStr"/>
      <c r="C146" t="n">
        <v>5</v>
      </c>
      <c r="D146">
        <f>IF(B146&gt;0, B146*CHOOSE(C146-4,0.80,0.84,0.88,0.92,0.96,1.00),"")</f>
        <v/>
      </c>
    </row>
    <row r="147">
      <c r="A147" t="inlineStr">
        <is>
          <t>Belt Squat</t>
        </is>
      </c>
      <c r="B147" t="inlineStr"/>
      <c r="C147" t="n">
        <v>6</v>
      </c>
      <c r="D147">
        <f>IF(B147&gt;0, B147*CHOOSE(C147-4,0.80,0.84,0.88,0.92,0.96,1.00),"")</f>
        <v/>
      </c>
    </row>
    <row r="148">
      <c r="A148" t="inlineStr">
        <is>
          <t>Belt Squat</t>
        </is>
      </c>
      <c r="B148" t="inlineStr"/>
      <c r="C148" t="n">
        <v>7</v>
      </c>
      <c r="D148">
        <f>IF(B148&gt;0, B148*CHOOSE(C148-4,0.80,0.84,0.88,0.92,0.96,1.00),"")</f>
        <v/>
      </c>
    </row>
    <row r="149">
      <c r="A149" t="inlineStr">
        <is>
          <t>Belt Squat</t>
        </is>
      </c>
      <c r="B149" t="inlineStr"/>
      <c r="C149" t="n">
        <v>8</v>
      </c>
      <c r="D149">
        <f>IF(B149&gt;0, B149*CHOOSE(C149-4,0.80,0.84,0.88,0.92,0.96,1.00),"")</f>
        <v/>
      </c>
    </row>
    <row r="150">
      <c r="A150" t="inlineStr">
        <is>
          <t>Belt Squat</t>
        </is>
      </c>
      <c r="B150" t="inlineStr"/>
      <c r="C150" t="n">
        <v>9</v>
      </c>
      <c r="D150">
        <f>IF(B150&gt;0, B150*CHOOSE(C150-4,0.80,0.84,0.88,0.92,0.96,1.00),"")</f>
        <v/>
      </c>
    </row>
    <row r="151">
      <c r="A151" t="inlineStr">
        <is>
          <t>Belt Squat</t>
        </is>
      </c>
      <c r="B151" t="inlineStr"/>
      <c r="C151" t="n">
        <v>10</v>
      </c>
      <c r="D151">
        <f>IF(B151&gt;0, B151*CHOOSE(C151-4,0.80,0.84,0.88,0.92,0.96,1.00),"")</f>
        <v/>
      </c>
    </row>
    <row r="152">
      <c r="A152" t="inlineStr">
        <is>
          <t>Romanian Deadlift</t>
        </is>
      </c>
      <c r="B152" t="inlineStr"/>
      <c r="C152" t="n">
        <v>5</v>
      </c>
      <c r="D152">
        <f>IF(B152&gt;0, B152*CHOOSE(C152-4,0.80,0.84,0.88,0.92,0.96,1.00),"")</f>
        <v/>
      </c>
    </row>
    <row r="153">
      <c r="A153" t="inlineStr">
        <is>
          <t>Romanian Deadlift</t>
        </is>
      </c>
      <c r="B153" t="inlineStr"/>
      <c r="C153" t="n">
        <v>6</v>
      </c>
      <c r="D153">
        <f>IF(B153&gt;0, B153*CHOOSE(C153-4,0.80,0.84,0.88,0.92,0.96,1.00),"")</f>
        <v/>
      </c>
    </row>
    <row r="154">
      <c r="A154" t="inlineStr">
        <is>
          <t>Romanian Deadlift</t>
        </is>
      </c>
      <c r="B154" t="inlineStr"/>
      <c r="C154" t="n">
        <v>7</v>
      </c>
      <c r="D154">
        <f>IF(B154&gt;0, B154*CHOOSE(C154-4,0.80,0.84,0.88,0.92,0.96,1.00),"")</f>
        <v/>
      </c>
    </row>
    <row r="155">
      <c r="A155" t="inlineStr">
        <is>
          <t>Romanian Deadlift</t>
        </is>
      </c>
      <c r="B155" t="inlineStr"/>
      <c r="C155" t="n">
        <v>8</v>
      </c>
      <c r="D155">
        <f>IF(B155&gt;0, B155*CHOOSE(C155-4,0.80,0.84,0.88,0.92,0.96,1.00),"")</f>
        <v/>
      </c>
    </row>
    <row r="156">
      <c r="A156" t="inlineStr">
        <is>
          <t>Romanian Deadlift</t>
        </is>
      </c>
      <c r="B156" t="inlineStr"/>
      <c r="C156" t="n">
        <v>9</v>
      </c>
      <c r="D156">
        <f>IF(B156&gt;0, B156*CHOOSE(C156-4,0.80,0.84,0.88,0.92,0.96,1.00),"")</f>
        <v/>
      </c>
    </row>
    <row r="157">
      <c r="A157" t="inlineStr">
        <is>
          <t>Romanian Deadlift</t>
        </is>
      </c>
      <c r="B157" t="inlineStr"/>
      <c r="C157" t="n">
        <v>10</v>
      </c>
      <c r="D157">
        <f>IF(B157&gt;0, B157*CHOOSE(C157-4,0.80,0.84,0.88,0.92,0.96,1.00),"")</f>
        <v/>
      </c>
    </row>
    <row r="158">
      <c r="A158" t="inlineStr">
        <is>
          <t>Hip Thrust</t>
        </is>
      </c>
      <c r="B158" t="inlineStr"/>
      <c r="C158" t="n">
        <v>5</v>
      </c>
      <c r="D158">
        <f>IF(B158&gt;0, B158*CHOOSE(C158-4,0.80,0.84,0.88,0.92,0.96,1.00),"")</f>
        <v/>
      </c>
    </row>
    <row r="159">
      <c r="A159" t="inlineStr">
        <is>
          <t>Hip Thrust</t>
        </is>
      </c>
      <c r="B159" t="inlineStr"/>
      <c r="C159" t="n">
        <v>6</v>
      </c>
      <c r="D159">
        <f>IF(B159&gt;0, B159*CHOOSE(C159-4,0.80,0.84,0.88,0.92,0.96,1.00),"")</f>
        <v/>
      </c>
    </row>
    <row r="160">
      <c r="A160" t="inlineStr">
        <is>
          <t>Hip Thrust</t>
        </is>
      </c>
      <c r="B160" t="inlineStr"/>
      <c r="C160" t="n">
        <v>7</v>
      </c>
      <c r="D160">
        <f>IF(B160&gt;0, B160*CHOOSE(C160-4,0.80,0.84,0.88,0.92,0.96,1.00),"")</f>
        <v/>
      </c>
    </row>
    <row r="161">
      <c r="A161" t="inlineStr">
        <is>
          <t>Hip Thrust</t>
        </is>
      </c>
      <c r="B161" t="inlineStr"/>
      <c r="C161" t="n">
        <v>8</v>
      </c>
      <c r="D161">
        <f>IF(B161&gt;0, B161*CHOOSE(C161-4,0.80,0.84,0.88,0.92,0.96,1.00),"")</f>
        <v/>
      </c>
    </row>
    <row r="162">
      <c r="A162" t="inlineStr">
        <is>
          <t>Hip Thrust</t>
        </is>
      </c>
      <c r="B162" t="inlineStr"/>
      <c r="C162" t="n">
        <v>9</v>
      </c>
      <c r="D162">
        <f>IF(B162&gt;0, B162*CHOOSE(C162-4,0.80,0.84,0.88,0.92,0.96,1.00),"")</f>
        <v/>
      </c>
    </row>
    <row r="163">
      <c r="A163" t="inlineStr">
        <is>
          <t>Hip Thrust</t>
        </is>
      </c>
      <c r="B163" t="inlineStr"/>
      <c r="C163" t="n">
        <v>10</v>
      </c>
      <c r="D163">
        <f>IF(B163&gt;0, B163*CHOOSE(C163-4,0.80,0.84,0.88,0.92,0.96,1.00),"")</f>
        <v/>
      </c>
    </row>
    <row r="164">
      <c r="A164" t="inlineStr">
        <is>
          <t>Kickback</t>
        </is>
      </c>
      <c r="B164" t="inlineStr"/>
      <c r="C164" t="n">
        <v>5</v>
      </c>
      <c r="D164">
        <f>IF(B164&gt;0, B164*CHOOSE(C164-4,0.80,0.84,0.88,0.92,0.96,1.00),"")</f>
        <v/>
      </c>
    </row>
    <row r="165">
      <c r="A165" t="inlineStr">
        <is>
          <t>Kickback</t>
        </is>
      </c>
      <c r="B165" t="inlineStr"/>
      <c r="C165" t="n">
        <v>6</v>
      </c>
      <c r="D165">
        <f>IF(B165&gt;0, B165*CHOOSE(C165-4,0.80,0.84,0.88,0.92,0.96,1.00),"")</f>
        <v/>
      </c>
    </row>
    <row r="166">
      <c r="A166" t="inlineStr">
        <is>
          <t>Kickback</t>
        </is>
      </c>
      <c r="B166" t="inlineStr"/>
      <c r="C166" t="n">
        <v>7</v>
      </c>
      <c r="D166">
        <f>IF(B166&gt;0, B166*CHOOSE(C166-4,0.80,0.84,0.88,0.92,0.96,1.00),"")</f>
        <v/>
      </c>
    </row>
    <row r="167">
      <c r="A167" t="inlineStr">
        <is>
          <t>Kickback</t>
        </is>
      </c>
      <c r="B167" t="inlineStr"/>
      <c r="C167" t="n">
        <v>8</v>
      </c>
      <c r="D167">
        <f>IF(B167&gt;0, B167*CHOOSE(C167-4,0.80,0.84,0.88,0.92,0.96,1.00),"")</f>
        <v/>
      </c>
    </row>
    <row r="168">
      <c r="A168" t="inlineStr">
        <is>
          <t>Kickback</t>
        </is>
      </c>
      <c r="B168" t="inlineStr"/>
      <c r="C168" t="n">
        <v>9</v>
      </c>
      <c r="D168">
        <f>IF(B168&gt;0, B168*CHOOSE(C168-4,0.80,0.84,0.88,0.92,0.96,1.00),"")</f>
        <v/>
      </c>
    </row>
    <row r="169">
      <c r="A169" t="inlineStr">
        <is>
          <t>Kickback</t>
        </is>
      </c>
      <c r="B169" t="inlineStr"/>
      <c r="C169" t="n">
        <v>10</v>
      </c>
      <c r="D169">
        <f>IF(B169&gt;0, B169*CHOOSE(C169-4,0.80,0.84,0.88,0.92,0.96,1.00),"")</f>
        <v/>
      </c>
    </row>
    <row r="170">
      <c r="A170" t="inlineStr">
        <is>
          <t>Abduction</t>
        </is>
      </c>
      <c r="B170" t="inlineStr"/>
      <c r="C170" t="n">
        <v>5</v>
      </c>
      <c r="D170">
        <f>IF(B170&gt;0, B170*CHOOSE(C170-4,0.80,0.84,0.88,0.92,0.96,1.00),"")</f>
        <v/>
      </c>
    </row>
    <row r="171">
      <c r="A171" t="inlineStr">
        <is>
          <t>Abduction</t>
        </is>
      </c>
      <c r="B171" t="inlineStr"/>
      <c r="C171" t="n">
        <v>6</v>
      </c>
      <c r="D171">
        <f>IF(B171&gt;0, B171*CHOOSE(C171-4,0.80,0.84,0.88,0.92,0.96,1.00),"")</f>
        <v/>
      </c>
    </row>
    <row r="172">
      <c r="A172" t="inlineStr">
        <is>
          <t>Abduction</t>
        </is>
      </c>
      <c r="B172" t="inlineStr"/>
      <c r="C172" t="n">
        <v>7</v>
      </c>
      <c r="D172">
        <f>IF(B172&gt;0, B172*CHOOSE(C172-4,0.80,0.84,0.88,0.92,0.96,1.00),"")</f>
        <v/>
      </c>
    </row>
    <row r="173">
      <c r="A173" t="inlineStr">
        <is>
          <t>Abduction</t>
        </is>
      </c>
      <c r="B173" t="inlineStr"/>
      <c r="C173" t="n">
        <v>8</v>
      </c>
      <c r="D173">
        <f>IF(B173&gt;0, B173*CHOOSE(C173-4,0.80,0.84,0.88,0.92,0.96,1.00),"")</f>
        <v/>
      </c>
    </row>
    <row r="174">
      <c r="A174" t="inlineStr">
        <is>
          <t>Abduction</t>
        </is>
      </c>
      <c r="B174" t="inlineStr"/>
      <c r="C174" t="n">
        <v>9</v>
      </c>
      <c r="D174">
        <f>IF(B174&gt;0, B174*CHOOSE(C174-4,0.80,0.84,0.88,0.92,0.96,1.00),"")</f>
        <v/>
      </c>
    </row>
    <row r="175">
      <c r="A175" t="inlineStr">
        <is>
          <t>Abduction</t>
        </is>
      </c>
      <c r="B175" t="inlineStr"/>
      <c r="C175" t="n">
        <v>10</v>
      </c>
      <c r="D175">
        <f>IF(B175&gt;0, B175*CHOOSE(C175-4,0.80,0.84,0.88,0.92,0.96,1.00),"")</f>
        <v/>
      </c>
    </row>
    <row r="176">
      <c r="A176" t="inlineStr">
        <is>
          <t>Box Jump</t>
        </is>
      </c>
      <c r="B176" t="inlineStr"/>
      <c r="C176" t="n">
        <v>5</v>
      </c>
      <c r="D176">
        <f>IF(B176&gt;0, B176*CHOOSE(C176-4,0.80,0.84,0.88,0.92,0.96,1.00),"")</f>
        <v/>
      </c>
    </row>
    <row r="177">
      <c r="A177" t="inlineStr">
        <is>
          <t>Box Jump</t>
        </is>
      </c>
      <c r="B177" t="inlineStr"/>
      <c r="C177" t="n">
        <v>6</v>
      </c>
      <c r="D177">
        <f>IF(B177&gt;0, B177*CHOOSE(C177-4,0.80,0.84,0.88,0.92,0.96,1.00),"")</f>
        <v/>
      </c>
    </row>
    <row r="178">
      <c r="A178" t="inlineStr">
        <is>
          <t>Box Jump</t>
        </is>
      </c>
      <c r="B178" t="inlineStr"/>
      <c r="C178" t="n">
        <v>7</v>
      </c>
      <c r="D178">
        <f>IF(B178&gt;0, B178*CHOOSE(C178-4,0.80,0.84,0.88,0.92,0.96,1.00),"")</f>
        <v/>
      </c>
    </row>
    <row r="179">
      <c r="A179" t="inlineStr">
        <is>
          <t>Box Jump</t>
        </is>
      </c>
      <c r="B179" t="inlineStr"/>
      <c r="C179" t="n">
        <v>8</v>
      </c>
      <c r="D179">
        <f>IF(B179&gt;0, B179*CHOOSE(C179-4,0.80,0.84,0.88,0.92,0.96,1.00),"")</f>
        <v/>
      </c>
    </row>
    <row r="180">
      <c r="A180" t="inlineStr">
        <is>
          <t>Box Jump</t>
        </is>
      </c>
      <c r="B180" t="inlineStr"/>
      <c r="C180" t="n">
        <v>9</v>
      </c>
      <c r="D180">
        <f>IF(B180&gt;0, B180*CHOOSE(C180-4,0.80,0.84,0.88,0.92,0.96,1.00),"")</f>
        <v/>
      </c>
    </row>
    <row r="181">
      <c r="A181" t="inlineStr">
        <is>
          <t>Box Jump</t>
        </is>
      </c>
      <c r="B181" t="inlineStr"/>
      <c r="C181" t="n">
        <v>10</v>
      </c>
      <c r="D181">
        <f>IF(B181&gt;0, B181*CHOOSE(C181-4,0.80,0.84,0.88,0.92,0.96,1.00),"")</f>
        <v/>
      </c>
    </row>
    <row r="182">
      <c r="A182" t="inlineStr">
        <is>
          <t>Pistol Squat</t>
        </is>
      </c>
      <c r="B182" t="inlineStr"/>
      <c r="C182" t="n">
        <v>5</v>
      </c>
      <c r="D182">
        <f>IF(B182&gt;0, B182*CHOOSE(C182-4,0.80,0.84,0.88,0.92,0.96,1.00),"")</f>
        <v/>
      </c>
    </row>
    <row r="183">
      <c r="A183" t="inlineStr">
        <is>
          <t>Pistol Squat</t>
        </is>
      </c>
      <c r="B183" t="inlineStr"/>
      <c r="C183" t="n">
        <v>6</v>
      </c>
      <c r="D183">
        <f>IF(B183&gt;0, B183*CHOOSE(C183-4,0.80,0.84,0.88,0.92,0.96,1.00),"")</f>
        <v/>
      </c>
    </row>
    <row r="184">
      <c r="A184" t="inlineStr">
        <is>
          <t>Pistol Squat</t>
        </is>
      </c>
      <c r="B184" t="inlineStr"/>
      <c r="C184" t="n">
        <v>7</v>
      </c>
      <c r="D184">
        <f>IF(B184&gt;0, B184*CHOOSE(C184-4,0.80,0.84,0.88,0.92,0.96,1.00),"")</f>
        <v/>
      </c>
    </row>
    <row r="185">
      <c r="A185" t="inlineStr">
        <is>
          <t>Pistol Squat</t>
        </is>
      </c>
      <c r="B185" t="inlineStr"/>
      <c r="C185" t="n">
        <v>8</v>
      </c>
      <c r="D185">
        <f>IF(B185&gt;0, B185*CHOOSE(C185-4,0.80,0.84,0.88,0.92,0.96,1.00),"")</f>
        <v/>
      </c>
    </row>
    <row r="186">
      <c r="A186" t="inlineStr">
        <is>
          <t>Pistol Squat</t>
        </is>
      </c>
      <c r="B186" t="inlineStr"/>
      <c r="C186" t="n">
        <v>9</v>
      </c>
      <c r="D186">
        <f>IF(B186&gt;0, B186*CHOOSE(C186-4,0.80,0.84,0.88,0.92,0.96,1.00),"")</f>
        <v/>
      </c>
    </row>
    <row r="187">
      <c r="A187" t="inlineStr">
        <is>
          <t>Pistol Squat</t>
        </is>
      </c>
      <c r="B187" t="inlineStr"/>
      <c r="C187" t="n">
        <v>10</v>
      </c>
      <c r="D187">
        <f>IF(B187&gt;0, B187*CHOOSE(C187-4,0.80,0.84,0.88,0.92,0.96,1.00),"")</f>
        <v/>
      </c>
    </row>
    <row r="188">
      <c r="A188" t="inlineStr">
        <is>
          <t>Farmer Walk</t>
        </is>
      </c>
      <c r="B188" t="inlineStr"/>
      <c r="C188" t="n">
        <v>5</v>
      </c>
      <c r="D188">
        <f>IF(B188&gt;0, B188*CHOOSE(C188-4,0.80,0.84,0.88,0.92,0.96,1.00),"")</f>
        <v/>
      </c>
    </row>
    <row r="189">
      <c r="A189" t="inlineStr">
        <is>
          <t>Farmer Walk</t>
        </is>
      </c>
      <c r="B189" t="inlineStr"/>
      <c r="C189" t="n">
        <v>6</v>
      </c>
      <c r="D189">
        <f>IF(B189&gt;0, B189*CHOOSE(C189-4,0.80,0.84,0.88,0.92,0.96,1.00),"")</f>
        <v/>
      </c>
    </row>
    <row r="190">
      <c r="A190" t="inlineStr">
        <is>
          <t>Farmer Walk</t>
        </is>
      </c>
      <c r="B190" t="inlineStr"/>
      <c r="C190" t="n">
        <v>7</v>
      </c>
      <c r="D190">
        <f>IF(B190&gt;0, B190*CHOOSE(C190-4,0.80,0.84,0.88,0.92,0.96,1.00),"")</f>
        <v/>
      </c>
    </row>
    <row r="191">
      <c r="A191" t="inlineStr">
        <is>
          <t>Farmer Walk</t>
        </is>
      </c>
      <c r="B191" t="inlineStr"/>
      <c r="C191" t="n">
        <v>8</v>
      </c>
      <c r="D191">
        <f>IF(B191&gt;0, B191*CHOOSE(C191-4,0.80,0.84,0.88,0.92,0.96,1.00),"")</f>
        <v/>
      </c>
    </row>
    <row r="192">
      <c r="A192" t="inlineStr">
        <is>
          <t>Farmer Walk</t>
        </is>
      </c>
      <c r="B192" t="inlineStr"/>
      <c r="C192" t="n">
        <v>9</v>
      </c>
      <c r="D192">
        <f>IF(B192&gt;0, B192*CHOOSE(C192-4,0.80,0.84,0.88,0.92,0.96,1.00),"")</f>
        <v/>
      </c>
    </row>
    <row r="193">
      <c r="A193" t="inlineStr">
        <is>
          <t>Farmer Walk</t>
        </is>
      </c>
      <c r="B193" t="inlineStr"/>
      <c r="C193" t="n">
        <v>10</v>
      </c>
      <c r="D193">
        <f>IF(B193&gt;0, B193*CHOOSE(C193-4,0.80,0.84,0.88,0.92,0.96,1.00),"")</f>
        <v/>
      </c>
    </row>
    <row r="194">
      <c r="A194" t="inlineStr">
        <is>
          <t>Burpees</t>
        </is>
      </c>
      <c r="B194" t="inlineStr"/>
      <c r="C194" t="n">
        <v>5</v>
      </c>
      <c r="D194">
        <f>IF(B194&gt;0, B194*CHOOSE(C194-4,0.80,0.84,0.88,0.92,0.96,1.00),"")</f>
        <v/>
      </c>
    </row>
    <row r="195">
      <c r="A195" t="inlineStr">
        <is>
          <t>Burpees</t>
        </is>
      </c>
      <c r="B195" t="inlineStr"/>
      <c r="C195" t="n">
        <v>6</v>
      </c>
      <c r="D195">
        <f>IF(B195&gt;0, B195*CHOOSE(C195-4,0.80,0.84,0.88,0.92,0.96,1.00),"")</f>
        <v/>
      </c>
    </row>
    <row r="196">
      <c r="A196" t="inlineStr">
        <is>
          <t>Burpees</t>
        </is>
      </c>
      <c r="B196" t="inlineStr"/>
      <c r="C196" t="n">
        <v>7</v>
      </c>
      <c r="D196">
        <f>IF(B196&gt;0, B196*CHOOSE(C196-4,0.80,0.84,0.88,0.92,0.96,1.00),"")</f>
        <v/>
      </c>
    </row>
    <row r="197">
      <c r="A197" t="inlineStr">
        <is>
          <t>Burpees</t>
        </is>
      </c>
      <c r="B197" t="inlineStr"/>
      <c r="C197" t="n">
        <v>8</v>
      </c>
      <c r="D197">
        <f>IF(B197&gt;0, B197*CHOOSE(C197-4,0.80,0.84,0.88,0.92,0.96,1.00),"")</f>
        <v/>
      </c>
    </row>
    <row r="198">
      <c r="A198" t="inlineStr">
        <is>
          <t>Burpees</t>
        </is>
      </c>
      <c r="B198" t="inlineStr"/>
      <c r="C198" t="n">
        <v>9</v>
      </c>
      <c r="D198">
        <f>IF(B198&gt;0, B198*CHOOSE(C198-4,0.80,0.84,0.88,0.92,0.96,1.00),"")</f>
        <v/>
      </c>
    </row>
    <row r="199">
      <c r="A199" t="inlineStr">
        <is>
          <t>Burpees</t>
        </is>
      </c>
      <c r="B199" t="inlineStr"/>
      <c r="C199" t="n">
        <v>10</v>
      </c>
      <c r="D199">
        <f>IF(B199&gt;0, B199*CHOOSE(C199-4,0.80,0.84,0.88,0.92,0.96,1.00),"")</f>
        <v/>
      </c>
    </row>
    <row r="200">
      <c r="A200" t="inlineStr">
        <is>
          <t>HSPU</t>
        </is>
      </c>
      <c r="B200" t="inlineStr"/>
      <c r="C200" t="n">
        <v>5</v>
      </c>
      <c r="D200">
        <f>IF(B200&gt;0, B200*CHOOSE(C200-4,0.80,0.84,0.88,0.92,0.96,1.00),"")</f>
        <v/>
      </c>
    </row>
    <row r="201">
      <c r="A201" t="inlineStr">
        <is>
          <t>HSPU</t>
        </is>
      </c>
      <c r="B201" t="inlineStr"/>
      <c r="C201" t="n">
        <v>6</v>
      </c>
      <c r="D201">
        <f>IF(B201&gt;0, B201*CHOOSE(C201-4,0.80,0.84,0.88,0.92,0.96,1.00),"")</f>
        <v/>
      </c>
    </row>
    <row r="202">
      <c r="A202" t="inlineStr">
        <is>
          <t>HSPU</t>
        </is>
      </c>
      <c r="B202" t="inlineStr"/>
      <c r="C202" t="n">
        <v>7</v>
      </c>
      <c r="D202">
        <f>IF(B202&gt;0, B202*CHOOSE(C202-4,0.80,0.84,0.88,0.92,0.96,1.00),"")</f>
        <v/>
      </c>
    </row>
    <row r="203">
      <c r="A203" t="inlineStr">
        <is>
          <t>HSPU</t>
        </is>
      </c>
      <c r="B203" t="inlineStr"/>
      <c r="C203" t="n">
        <v>8</v>
      </c>
      <c r="D203">
        <f>IF(B203&gt;0, B203*CHOOSE(C203-4,0.80,0.84,0.88,0.92,0.96,1.00),"")</f>
        <v/>
      </c>
    </row>
    <row r="204">
      <c r="A204" t="inlineStr">
        <is>
          <t>HSPU</t>
        </is>
      </c>
      <c r="B204" t="inlineStr"/>
      <c r="C204" t="n">
        <v>9</v>
      </c>
      <c r="D204">
        <f>IF(B204&gt;0, B204*CHOOSE(C204-4,0.80,0.84,0.88,0.92,0.96,1.00),"")</f>
        <v/>
      </c>
    </row>
    <row r="205">
      <c r="A205" t="inlineStr">
        <is>
          <t>HSPU</t>
        </is>
      </c>
      <c r="B205" t="inlineStr"/>
      <c r="C205" t="n">
        <v>10</v>
      </c>
      <c r="D205">
        <f>IF(B205&gt;0, B205*CHOOSE(C205-4,0.80,0.84,0.88,0.92,0.96,1.00),"")</f>
        <v/>
      </c>
    </row>
    <row r="206">
      <c r="A206" t="inlineStr">
        <is>
          <t>MU</t>
        </is>
      </c>
      <c r="B206" t="inlineStr"/>
      <c r="C206" t="n">
        <v>5</v>
      </c>
      <c r="D206">
        <f>IF(B206&gt;0, B206*CHOOSE(C206-4,0.80,0.84,0.88,0.92,0.96,1.00),"")</f>
        <v/>
      </c>
    </row>
    <row r="207">
      <c r="A207" t="inlineStr">
        <is>
          <t>MU</t>
        </is>
      </c>
      <c r="B207" t="inlineStr"/>
      <c r="C207" t="n">
        <v>6</v>
      </c>
      <c r="D207">
        <f>IF(B207&gt;0, B207*CHOOSE(C207-4,0.80,0.84,0.88,0.92,0.96,1.00),"")</f>
        <v/>
      </c>
    </row>
    <row r="208">
      <c r="A208" t="inlineStr">
        <is>
          <t>MU</t>
        </is>
      </c>
      <c r="B208" t="inlineStr"/>
      <c r="C208" t="n">
        <v>7</v>
      </c>
      <c r="D208">
        <f>IF(B208&gt;0, B208*CHOOSE(C208-4,0.80,0.84,0.88,0.92,0.96,1.00),"")</f>
        <v/>
      </c>
    </row>
    <row r="209">
      <c r="A209" t="inlineStr">
        <is>
          <t>MU</t>
        </is>
      </c>
      <c r="B209" t="inlineStr"/>
      <c r="C209" t="n">
        <v>8</v>
      </c>
      <c r="D209">
        <f>IF(B209&gt;0, B209*CHOOSE(C209-4,0.80,0.84,0.88,0.92,0.96,1.00),"")</f>
        <v/>
      </c>
    </row>
    <row r="210">
      <c r="A210" t="inlineStr">
        <is>
          <t>MU</t>
        </is>
      </c>
      <c r="B210" t="inlineStr"/>
      <c r="C210" t="n">
        <v>9</v>
      </c>
      <c r="D210">
        <f>IF(B210&gt;0, B210*CHOOSE(C210-4,0.80,0.84,0.88,0.92,0.96,1.00),"")</f>
        <v/>
      </c>
    </row>
    <row r="211">
      <c r="A211" t="inlineStr">
        <is>
          <t>MU</t>
        </is>
      </c>
      <c r="B211" t="inlineStr"/>
      <c r="C211" t="n">
        <v>10</v>
      </c>
      <c r="D211">
        <f>IF(B211&gt;0, B211*CHOOSE(C211-4,0.80,0.84,0.88,0.92,0.96,1.00),"")</f>
        <v/>
      </c>
    </row>
    <row r="212">
      <c r="A212" t="inlineStr">
        <is>
          <t>Planche</t>
        </is>
      </c>
      <c r="B212" t="inlineStr"/>
      <c r="C212" t="n">
        <v>5</v>
      </c>
      <c r="D212">
        <f>IF(B212&gt;0, B212*CHOOSE(C212-4,0.80,0.84,0.88,0.92,0.96,1.00),"")</f>
        <v/>
      </c>
    </row>
    <row r="213">
      <c r="A213" t="inlineStr">
        <is>
          <t>Planche</t>
        </is>
      </c>
      <c r="B213" t="inlineStr"/>
      <c r="C213" t="n">
        <v>6</v>
      </c>
      <c r="D213">
        <f>IF(B213&gt;0, B213*CHOOSE(C213-4,0.80,0.84,0.88,0.92,0.96,1.00),"")</f>
        <v/>
      </c>
    </row>
    <row r="214">
      <c r="A214" t="inlineStr">
        <is>
          <t>Planche</t>
        </is>
      </c>
      <c r="B214" t="inlineStr"/>
      <c r="C214" t="n">
        <v>7</v>
      </c>
      <c r="D214">
        <f>IF(B214&gt;0, B214*CHOOSE(C214-4,0.80,0.84,0.88,0.92,0.96,1.00),"")</f>
        <v/>
      </c>
    </row>
    <row r="215">
      <c r="A215" t="inlineStr">
        <is>
          <t>Planche</t>
        </is>
      </c>
      <c r="B215" t="inlineStr"/>
      <c r="C215" t="n">
        <v>8</v>
      </c>
      <c r="D215">
        <f>IF(B215&gt;0, B215*CHOOSE(C215-4,0.80,0.84,0.88,0.92,0.96,1.00),"")</f>
        <v/>
      </c>
    </row>
    <row r="216">
      <c r="A216" t="inlineStr">
        <is>
          <t>Planche</t>
        </is>
      </c>
      <c r="B216" t="inlineStr"/>
      <c r="C216" t="n">
        <v>9</v>
      </c>
      <c r="D216">
        <f>IF(B216&gt;0, B216*CHOOSE(C216-4,0.80,0.84,0.88,0.92,0.96,1.00),"")</f>
        <v/>
      </c>
    </row>
    <row r="217">
      <c r="A217" t="inlineStr">
        <is>
          <t>Planche</t>
        </is>
      </c>
      <c r="B217" t="inlineStr"/>
      <c r="C217" t="n">
        <v>10</v>
      </c>
      <c r="D217">
        <f>IF(B217&gt;0, B217*CHOOSE(C217-4,0.80,0.84,0.88,0.92,0.96,1.00),"")</f>
        <v/>
      </c>
    </row>
    <row r="218">
      <c r="A218" t="inlineStr">
        <is>
          <t>Traction Lestée</t>
        </is>
      </c>
      <c r="B218" t="inlineStr"/>
      <c r="C218" t="n">
        <v>5</v>
      </c>
      <c r="D218">
        <f>IF(B218&gt;0, B218*CHOOSE(C218-4,0.80,0.84,0.88,0.92,0.96,1.00),"")</f>
        <v/>
      </c>
    </row>
    <row r="219">
      <c r="A219" t="inlineStr">
        <is>
          <t>Traction Lestée</t>
        </is>
      </c>
      <c r="B219" t="inlineStr"/>
      <c r="C219" t="n">
        <v>6</v>
      </c>
      <c r="D219">
        <f>IF(B219&gt;0, B219*CHOOSE(C219-4,0.80,0.84,0.88,0.92,0.96,1.00),"")</f>
        <v/>
      </c>
    </row>
    <row r="220">
      <c r="A220" t="inlineStr">
        <is>
          <t>Traction Lestée</t>
        </is>
      </c>
      <c r="B220" t="inlineStr"/>
      <c r="C220" t="n">
        <v>7</v>
      </c>
      <c r="D220">
        <f>IF(B220&gt;0, B220*CHOOSE(C220-4,0.80,0.84,0.88,0.92,0.96,1.00),"")</f>
        <v/>
      </c>
    </row>
    <row r="221">
      <c r="A221" t="inlineStr">
        <is>
          <t>Traction Lestée</t>
        </is>
      </c>
      <c r="B221" t="inlineStr"/>
      <c r="C221" t="n">
        <v>8</v>
      </c>
      <c r="D221">
        <f>IF(B221&gt;0, B221*CHOOSE(C221-4,0.80,0.84,0.88,0.92,0.96,1.00),"")</f>
        <v/>
      </c>
    </row>
    <row r="222">
      <c r="A222" t="inlineStr">
        <is>
          <t>Traction Lestée</t>
        </is>
      </c>
      <c r="B222" t="inlineStr"/>
      <c r="C222" t="n">
        <v>9</v>
      </c>
      <c r="D222">
        <f>IF(B222&gt;0, B222*CHOOSE(C222-4,0.80,0.84,0.88,0.92,0.96,1.00),"")</f>
        <v/>
      </c>
    </row>
    <row r="223">
      <c r="A223" t="inlineStr">
        <is>
          <t>Traction Lestée</t>
        </is>
      </c>
      <c r="B223" t="inlineStr"/>
      <c r="C223" t="n">
        <v>10</v>
      </c>
      <c r="D223">
        <f>IF(B223&gt;0, B223*CHOOSE(C223-4,0.80,0.84,0.88,0.92,0.96,1.00),"")</f>
        <v/>
      </c>
    </row>
    <row r="224">
      <c r="A224" t="inlineStr">
        <is>
          <t>Pompes Diamant</t>
        </is>
      </c>
      <c r="B224" t="inlineStr"/>
      <c r="C224" t="n">
        <v>5</v>
      </c>
      <c r="D224">
        <f>IF(B224&gt;0, B224*CHOOSE(C224-4,0.80,0.84,0.88,0.92,0.96,1.00),"")</f>
        <v/>
      </c>
    </row>
    <row r="225">
      <c r="A225" t="inlineStr">
        <is>
          <t>Pompes Diamant</t>
        </is>
      </c>
      <c r="B225" t="inlineStr"/>
      <c r="C225" t="n">
        <v>6</v>
      </c>
      <c r="D225">
        <f>IF(B225&gt;0, B225*CHOOSE(C225-4,0.80,0.84,0.88,0.92,0.96,1.00),"")</f>
        <v/>
      </c>
    </row>
    <row r="226">
      <c r="A226" t="inlineStr">
        <is>
          <t>Pompes Diamant</t>
        </is>
      </c>
      <c r="B226" t="inlineStr"/>
      <c r="C226" t="n">
        <v>7</v>
      </c>
      <c r="D226">
        <f>IF(B226&gt;0, B226*CHOOSE(C226-4,0.80,0.84,0.88,0.92,0.96,1.00),"")</f>
        <v/>
      </c>
    </row>
    <row r="227">
      <c r="A227" t="inlineStr">
        <is>
          <t>Pompes Diamant</t>
        </is>
      </c>
      <c r="B227" t="inlineStr"/>
      <c r="C227" t="n">
        <v>8</v>
      </c>
      <c r="D227">
        <f>IF(B227&gt;0, B227*CHOOSE(C227-4,0.80,0.84,0.88,0.92,0.96,1.00),"")</f>
        <v/>
      </c>
    </row>
    <row r="228">
      <c r="A228" t="inlineStr">
        <is>
          <t>Pompes Diamant</t>
        </is>
      </c>
      <c r="B228" t="inlineStr"/>
      <c r="C228" t="n">
        <v>9</v>
      </c>
      <c r="D228">
        <f>IF(B228&gt;0, B228*CHOOSE(C228-4,0.80,0.84,0.88,0.92,0.96,1.00),"")</f>
        <v/>
      </c>
    </row>
    <row r="229">
      <c r="A229" t="inlineStr">
        <is>
          <t>Pompes Diamant</t>
        </is>
      </c>
      <c r="B229" t="inlineStr"/>
      <c r="C229" t="n">
        <v>10</v>
      </c>
      <c r="D229">
        <f>IF(B229&gt;0, B229*CHOOSE(C229-4,0.80,0.84,0.88,0.92,0.96,1.00),"")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Charge (kg)</t>
        </is>
      </c>
      <c r="C1" t="inlineStr">
        <is>
          <t>Reps</t>
        </is>
      </c>
      <c r="D1" t="inlineStr">
        <is>
          <t>RPE Cible</t>
        </is>
      </c>
      <c r="E1" t="inlineStr">
        <is>
          <t>Charge RPE Cible (kg)</t>
        </is>
      </c>
    </row>
    <row r="2">
      <c r="A2" t="inlineStr">
        <is>
          <t>Front Squat</t>
        </is>
      </c>
      <c r="B2" t="inlineStr"/>
      <c r="C2" t="inlineStr"/>
      <c r="D2" t="n">
        <v>5</v>
      </c>
      <c r="E2">
        <f>IF(AND(B2&gt;0,C2&gt;0), B2 * (1 + C2/30) * CHOOSE(D2-4,0.80,0.84,0.88,0.92,0.96,1.00),"")</f>
        <v/>
      </c>
    </row>
    <row r="3">
      <c r="A3" t="inlineStr">
        <is>
          <t>Front Squat</t>
        </is>
      </c>
      <c r="B3" t="inlineStr"/>
      <c r="C3" t="inlineStr"/>
      <c r="D3" t="n">
        <v>6</v>
      </c>
      <c r="E3">
        <f>IF(AND(B3&gt;0,C3&gt;0), B3 * (1 + C3/30) * CHOOSE(D3-4,0.80,0.84,0.88,0.92,0.96,1.00),"")</f>
        <v/>
      </c>
    </row>
    <row r="4">
      <c r="A4" t="inlineStr">
        <is>
          <t>Front Squat</t>
        </is>
      </c>
      <c r="B4" t="inlineStr"/>
      <c r="C4" t="inlineStr"/>
      <c r="D4" t="n">
        <v>7</v>
      </c>
      <c r="E4">
        <f>IF(AND(B4&gt;0,C4&gt;0), B4 * (1 + C4/30) * CHOOSE(D4-4,0.80,0.84,0.88,0.92,0.96,1.00),"")</f>
        <v/>
      </c>
    </row>
    <row r="5">
      <c r="A5" t="inlineStr">
        <is>
          <t>Front Squat</t>
        </is>
      </c>
      <c r="B5" t="inlineStr"/>
      <c r="C5" t="inlineStr"/>
      <c r="D5" t="n">
        <v>8</v>
      </c>
      <c r="E5">
        <f>IF(AND(B5&gt;0,C5&gt;0), B5 * (1 + C5/30) * CHOOSE(D5-4,0.80,0.84,0.88,0.92,0.96,1.00),"")</f>
        <v/>
      </c>
    </row>
    <row r="6">
      <c r="A6" t="inlineStr">
        <is>
          <t>Front Squat</t>
        </is>
      </c>
      <c r="B6" t="inlineStr"/>
      <c r="C6" t="inlineStr"/>
      <c r="D6" t="n">
        <v>9</v>
      </c>
      <c r="E6">
        <f>IF(AND(B6&gt;0,C6&gt;0), B6 * (1 + C6/30) * CHOOSE(D6-4,0.80,0.84,0.88,0.92,0.96,1.00),"")</f>
        <v/>
      </c>
    </row>
    <row r="7">
      <c r="A7" t="inlineStr">
        <is>
          <t>Front Squat</t>
        </is>
      </c>
      <c r="B7" t="inlineStr"/>
      <c r="C7" t="inlineStr"/>
      <c r="D7" t="n">
        <v>10</v>
      </c>
      <c r="E7">
        <f>IF(AND(B7&gt;0,C7&gt;0), B7 * (1 + C7/30) * CHOOSE(D7-4,0.80,0.84,0.88,0.92,0.96,1.00),"")</f>
        <v/>
      </c>
    </row>
    <row r="8">
      <c r="A8" t="inlineStr">
        <is>
          <t>Back Squat</t>
        </is>
      </c>
      <c r="B8" t="inlineStr"/>
      <c r="C8" t="inlineStr"/>
      <c r="D8" t="n">
        <v>5</v>
      </c>
      <c r="E8">
        <f>IF(AND(B8&gt;0,C8&gt;0), B8 * (1 + C8/30) * CHOOSE(D8-4,0.80,0.84,0.88,0.92,0.96,1.00),"")</f>
        <v/>
      </c>
    </row>
    <row r="9">
      <c r="A9" t="inlineStr">
        <is>
          <t>Back Squat</t>
        </is>
      </c>
      <c r="B9" t="inlineStr"/>
      <c r="C9" t="inlineStr"/>
      <c r="D9" t="n">
        <v>6</v>
      </c>
      <c r="E9">
        <f>IF(AND(B9&gt;0,C9&gt;0), B9 * (1 + C9/30) * CHOOSE(D9-4,0.80,0.84,0.88,0.92,0.96,1.00),"")</f>
        <v/>
      </c>
    </row>
    <row r="10">
      <c r="A10" t="inlineStr">
        <is>
          <t>Back Squat</t>
        </is>
      </c>
      <c r="B10" t="inlineStr"/>
      <c r="C10" t="inlineStr"/>
      <c r="D10" t="n">
        <v>7</v>
      </c>
      <c r="E10">
        <f>IF(AND(B10&gt;0,C10&gt;0), B10 * (1 + C10/30) * CHOOSE(D10-4,0.80,0.84,0.88,0.92,0.96,1.00),"")</f>
        <v/>
      </c>
    </row>
    <row r="11">
      <c r="A11" t="inlineStr">
        <is>
          <t>Back Squat</t>
        </is>
      </c>
      <c r="B11" t="inlineStr"/>
      <c r="C11" t="inlineStr"/>
      <c r="D11" t="n">
        <v>8</v>
      </c>
      <c r="E11">
        <f>IF(AND(B11&gt;0,C11&gt;0), B11 * (1 + C11/30) * CHOOSE(D11-4,0.80,0.84,0.88,0.92,0.96,1.00),"")</f>
        <v/>
      </c>
    </row>
    <row r="12">
      <c r="A12" t="inlineStr">
        <is>
          <t>Back Squat</t>
        </is>
      </c>
      <c r="B12" t="inlineStr"/>
      <c r="C12" t="inlineStr"/>
      <c r="D12" t="n">
        <v>9</v>
      </c>
      <c r="E12">
        <f>IF(AND(B12&gt;0,C12&gt;0), B12 * (1 + C12/30) * CHOOSE(D12-4,0.80,0.84,0.88,0.92,0.96,1.00),"")</f>
        <v/>
      </c>
    </row>
    <row r="13">
      <c r="A13" t="inlineStr">
        <is>
          <t>Back Squat</t>
        </is>
      </c>
      <c r="B13" t="inlineStr"/>
      <c r="C13" t="inlineStr"/>
      <c r="D13" t="n">
        <v>10</v>
      </c>
      <c r="E13">
        <f>IF(AND(B13&gt;0,C13&gt;0), B13 * (1 + C13/30) * CHOOSE(D13-4,0.80,0.84,0.88,0.92,0.96,1.00),"")</f>
        <v/>
      </c>
    </row>
    <row r="14">
      <c r="A14" t="inlineStr">
        <is>
          <t>Snatch Grip Deadlift</t>
        </is>
      </c>
      <c r="B14" t="inlineStr"/>
      <c r="C14" t="inlineStr"/>
      <c r="D14" t="n">
        <v>5</v>
      </c>
      <c r="E14">
        <f>IF(AND(B14&gt;0,C14&gt;0), B14 * (1 + C14/30) * CHOOSE(D14-4,0.80,0.84,0.88,0.92,0.96,1.00),"")</f>
        <v/>
      </c>
    </row>
    <row r="15">
      <c r="A15" t="inlineStr">
        <is>
          <t>Snatch Grip Deadlift</t>
        </is>
      </c>
      <c r="B15" t="inlineStr"/>
      <c r="C15" t="inlineStr"/>
      <c r="D15" t="n">
        <v>6</v>
      </c>
      <c r="E15">
        <f>IF(AND(B15&gt;0,C15&gt;0), B15 * (1 + C15/30) * CHOOSE(D15-4,0.80,0.84,0.88,0.92,0.96,1.00),"")</f>
        <v/>
      </c>
    </row>
    <row r="16">
      <c r="A16" t="inlineStr">
        <is>
          <t>Snatch Grip Deadlift</t>
        </is>
      </c>
      <c r="B16" t="inlineStr"/>
      <c r="C16" t="inlineStr"/>
      <c r="D16" t="n">
        <v>7</v>
      </c>
      <c r="E16">
        <f>IF(AND(B16&gt;0,C16&gt;0), B16 * (1 + C16/30) * CHOOSE(D16-4,0.80,0.84,0.88,0.92,0.96,1.00),"")</f>
        <v/>
      </c>
    </row>
    <row r="17">
      <c r="A17" t="inlineStr">
        <is>
          <t>Snatch Grip Deadlift</t>
        </is>
      </c>
      <c r="B17" t="inlineStr"/>
      <c r="C17" t="inlineStr"/>
      <c r="D17" t="n">
        <v>8</v>
      </c>
      <c r="E17">
        <f>IF(AND(B17&gt;0,C17&gt;0), B17 * (1 + C17/30) * CHOOSE(D17-4,0.80,0.84,0.88,0.92,0.96,1.00),"")</f>
        <v/>
      </c>
    </row>
    <row r="18">
      <c r="A18" t="inlineStr">
        <is>
          <t>Snatch Grip Deadlift</t>
        </is>
      </c>
      <c r="B18" t="inlineStr"/>
      <c r="C18" t="inlineStr"/>
      <c r="D18" t="n">
        <v>9</v>
      </c>
      <c r="E18">
        <f>IF(AND(B18&gt;0,C18&gt;0), B18 * (1 + C18/30) * CHOOSE(D18-4,0.80,0.84,0.88,0.92,0.96,1.00),"")</f>
        <v/>
      </c>
    </row>
    <row r="19">
      <c r="A19" t="inlineStr">
        <is>
          <t>Snatch Grip Deadlift</t>
        </is>
      </c>
      <c r="B19" t="inlineStr"/>
      <c r="C19" t="inlineStr"/>
      <c r="D19" t="n">
        <v>10</v>
      </c>
      <c r="E19">
        <f>IF(AND(B19&gt;0,C19&gt;0), B19 * (1 + C19/30) * CHOOSE(D19-4,0.80,0.84,0.88,0.92,0.96,1.00),"")</f>
        <v/>
      </c>
    </row>
    <row r="20">
      <c r="A20" t="inlineStr">
        <is>
          <t>Bulgarian Split Squat</t>
        </is>
      </c>
      <c r="B20" t="inlineStr"/>
      <c r="C20" t="inlineStr"/>
      <c r="D20" t="n">
        <v>5</v>
      </c>
      <c r="E20">
        <f>IF(AND(B20&gt;0,C20&gt;0), B20 * (1 + C20/30) * CHOOSE(D20-4,0.80,0.84,0.88,0.92,0.96,1.00),"")</f>
        <v/>
      </c>
    </row>
    <row r="21">
      <c r="A21" t="inlineStr">
        <is>
          <t>Bulgarian Split Squat</t>
        </is>
      </c>
      <c r="B21" t="inlineStr"/>
      <c r="C21" t="inlineStr"/>
      <c r="D21" t="n">
        <v>6</v>
      </c>
      <c r="E21">
        <f>IF(AND(B21&gt;0,C21&gt;0), B21 * (1 + C21/30) * CHOOSE(D21-4,0.80,0.84,0.88,0.92,0.96,1.00),"")</f>
        <v/>
      </c>
    </row>
    <row r="22">
      <c r="A22" t="inlineStr">
        <is>
          <t>Bulgarian Split Squat</t>
        </is>
      </c>
      <c r="B22" t="inlineStr"/>
      <c r="C22" t="inlineStr"/>
      <c r="D22" t="n">
        <v>7</v>
      </c>
      <c r="E22">
        <f>IF(AND(B22&gt;0,C22&gt;0), B22 * (1 + C22/30) * CHOOSE(D22-4,0.80,0.84,0.88,0.92,0.96,1.00),"")</f>
        <v/>
      </c>
    </row>
    <row r="23">
      <c r="A23" t="inlineStr">
        <is>
          <t>Bulgarian Split Squat</t>
        </is>
      </c>
      <c r="B23" t="inlineStr"/>
      <c r="C23" t="inlineStr"/>
      <c r="D23" t="n">
        <v>8</v>
      </c>
      <c r="E23">
        <f>IF(AND(B23&gt;0,C23&gt;0), B23 * (1 + C23/30) * CHOOSE(D23-4,0.80,0.84,0.88,0.92,0.96,1.00),"")</f>
        <v/>
      </c>
    </row>
    <row r="24">
      <c r="A24" t="inlineStr">
        <is>
          <t>Bulgarian Split Squat</t>
        </is>
      </c>
      <c r="B24" t="inlineStr"/>
      <c r="C24" t="inlineStr"/>
      <c r="D24" t="n">
        <v>9</v>
      </c>
      <c r="E24">
        <f>IF(AND(B24&gt;0,C24&gt;0), B24 * (1 + C24/30) * CHOOSE(D24-4,0.80,0.84,0.88,0.92,0.96,1.00),"")</f>
        <v/>
      </c>
    </row>
    <row r="25">
      <c r="A25" t="inlineStr">
        <is>
          <t>Bulgarian Split Squat</t>
        </is>
      </c>
      <c r="B25" t="inlineStr"/>
      <c r="C25" t="inlineStr"/>
      <c r="D25" t="n">
        <v>10</v>
      </c>
      <c r="E25">
        <f>IF(AND(B25&gt;0,C25&gt;0), B25 * (1 + C25/30) * CHOOSE(D25-4,0.80,0.84,0.88,0.92,0.96,1.00),"")</f>
        <v/>
      </c>
    </row>
    <row r="26">
      <c r="A26" t="inlineStr">
        <is>
          <t>Hack Squat</t>
        </is>
      </c>
      <c r="B26" t="inlineStr"/>
      <c r="C26" t="inlineStr"/>
      <c r="D26" t="n">
        <v>5</v>
      </c>
      <c r="E26">
        <f>IF(AND(B26&gt;0,C26&gt;0), B26 * (1 + C26/30) * CHOOSE(D26-4,0.80,0.84,0.88,0.92,0.96,1.00),"")</f>
        <v/>
      </c>
    </row>
    <row r="27">
      <c r="A27" t="inlineStr">
        <is>
          <t>Hack Squat</t>
        </is>
      </c>
      <c r="B27" t="inlineStr"/>
      <c r="C27" t="inlineStr"/>
      <c r="D27" t="n">
        <v>6</v>
      </c>
      <c r="E27">
        <f>IF(AND(B27&gt;0,C27&gt;0), B27 * (1 + C27/30) * CHOOSE(D27-4,0.80,0.84,0.88,0.92,0.96,1.00),"")</f>
        <v/>
      </c>
    </row>
    <row r="28">
      <c r="A28" t="inlineStr">
        <is>
          <t>Hack Squat</t>
        </is>
      </c>
      <c r="B28" t="inlineStr"/>
      <c r="C28" t="inlineStr"/>
      <c r="D28" t="n">
        <v>7</v>
      </c>
      <c r="E28">
        <f>IF(AND(B28&gt;0,C28&gt;0), B28 * (1 + C28/30) * CHOOSE(D28-4,0.80,0.84,0.88,0.92,0.96,1.00),"")</f>
        <v/>
      </c>
    </row>
    <row r="29">
      <c r="A29" t="inlineStr">
        <is>
          <t>Hack Squat</t>
        </is>
      </c>
      <c r="B29" t="inlineStr"/>
      <c r="C29" t="inlineStr"/>
      <c r="D29" t="n">
        <v>8</v>
      </c>
      <c r="E29">
        <f>IF(AND(B29&gt;0,C29&gt;0), B29 * (1 + C29/30) * CHOOSE(D29-4,0.80,0.84,0.88,0.92,0.96,1.00),"")</f>
        <v/>
      </c>
    </row>
    <row r="30">
      <c r="A30" t="inlineStr">
        <is>
          <t>Hack Squat</t>
        </is>
      </c>
      <c r="B30" t="inlineStr"/>
      <c r="C30" t="inlineStr"/>
      <c r="D30" t="n">
        <v>9</v>
      </c>
      <c r="E30">
        <f>IF(AND(B30&gt;0,C30&gt;0), B30 * (1 + C30/30) * CHOOSE(D30-4,0.80,0.84,0.88,0.92,0.96,1.00),"")</f>
        <v/>
      </c>
    </row>
    <row r="31">
      <c r="A31" t="inlineStr">
        <is>
          <t>Hack Squat</t>
        </is>
      </c>
      <c r="B31" t="inlineStr"/>
      <c r="C31" t="inlineStr"/>
      <c r="D31" t="n">
        <v>10</v>
      </c>
      <c r="E31">
        <f>IF(AND(B31&gt;0,C31&gt;0), B31 * (1 + C31/30) * CHOOSE(D31-4,0.80,0.84,0.88,0.92,0.96,1.00),"")</f>
        <v/>
      </c>
    </row>
    <row r="32">
      <c r="A32" t="inlineStr">
        <is>
          <t>Leg Press</t>
        </is>
      </c>
      <c r="B32" t="inlineStr"/>
      <c r="C32" t="inlineStr"/>
      <c r="D32" t="n">
        <v>5</v>
      </c>
      <c r="E32">
        <f>IF(AND(B32&gt;0,C32&gt;0), B32 * (1 + C32/30) * CHOOSE(D32-4,0.80,0.84,0.88,0.92,0.96,1.00),"")</f>
        <v/>
      </c>
    </row>
    <row r="33">
      <c r="A33" t="inlineStr">
        <is>
          <t>Leg Press</t>
        </is>
      </c>
      <c r="B33" t="inlineStr"/>
      <c r="C33" t="inlineStr"/>
      <c r="D33" t="n">
        <v>6</v>
      </c>
      <c r="E33">
        <f>IF(AND(B33&gt;0,C33&gt;0), B33 * (1 + C33/30) * CHOOSE(D33-4,0.80,0.84,0.88,0.92,0.96,1.00),"")</f>
        <v/>
      </c>
    </row>
    <row r="34">
      <c r="A34" t="inlineStr">
        <is>
          <t>Leg Press</t>
        </is>
      </c>
      <c r="B34" t="inlineStr"/>
      <c r="C34" t="inlineStr"/>
      <c r="D34" t="n">
        <v>7</v>
      </c>
      <c r="E34">
        <f>IF(AND(B34&gt;0,C34&gt;0), B34 * (1 + C34/30) * CHOOSE(D34-4,0.80,0.84,0.88,0.92,0.96,1.00),"")</f>
        <v/>
      </c>
    </row>
    <row r="35">
      <c r="A35" t="inlineStr">
        <is>
          <t>Leg Press</t>
        </is>
      </c>
      <c r="B35" t="inlineStr"/>
      <c r="C35" t="inlineStr"/>
      <c r="D35" t="n">
        <v>8</v>
      </c>
      <c r="E35">
        <f>IF(AND(B35&gt;0,C35&gt;0), B35 * (1 + C35/30) * CHOOSE(D35-4,0.80,0.84,0.88,0.92,0.96,1.00),"")</f>
        <v/>
      </c>
    </row>
    <row r="36">
      <c r="A36" t="inlineStr">
        <is>
          <t>Leg Press</t>
        </is>
      </c>
      <c r="B36" t="inlineStr"/>
      <c r="C36" t="inlineStr"/>
      <c r="D36" t="n">
        <v>9</v>
      </c>
      <c r="E36">
        <f>IF(AND(B36&gt;0,C36&gt;0), B36 * (1 + C36/30) * CHOOSE(D36-4,0.80,0.84,0.88,0.92,0.96,1.00),"")</f>
        <v/>
      </c>
    </row>
    <row r="37">
      <c r="A37" t="inlineStr">
        <is>
          <t>Leg Press</t>
        </is>
      </c>
      <c r="B37" t="inlineStr"/>
      <c r="C37" t="inlineStr"/>
      <c r="D37" t="n">
        <v>10</v>
      </c>
      <c r="E37">
        <f>IF(AND(B37&gt;0,C37&gt;0), B37 * (1 + C37/30) * CHOOSE(D37-4,0.80,0.84,0.88,0.92,0.96,1.00),"")</f>
        <v/>
      </c>
    </row>
    <row r="38">
      <c r="A38" t="inlineStr">
        <is>
          <t>Leg Extension</t>
        </is>
      </c>
      <c r="B38" t="inlineStr"/>
      <c r="C38" t="inlineStr"/>
      <c r="D38" t="n">
        <v>5</v>
      </c>
      <c r="E38">
        <f>IF(AND(B38&gt;0,C38&gt;0), B38 * (1 + C38/30) * CHOOSE(D38-4,0.80,0.84,0.88,0.92,0.96,1.00),"")</f>
        <v/>
      </c>
    </row>
    <row r="39">
      <c r="A39" t="inlineStr">
        <is>
          <t>Leg Extension</t>
        </is>
      </c>
      <c r="B39" t="inlineStr"/>
      <c r="C39" t="inlineStr"/>
      <c r="D39" t="n">
        <v>6</v>
      </c>
      <c r="E39">
        <f>IF(AND(B39&gt;0,C39&gt;0), B39 * (1 + C39/30) * CHOOSE(D39-4,0.80,0.84,0.88,0.92,0.96,1.00),"")</f>
        <v/>
      </c>
    </row>
    <row r="40">
      <c r="A40" t="inlineStr">
        <is>
          <t>Leg Extension</t>
        </is>
      </c>
      <c r="B40" t="inlineStr"/>
      <c r="C40" t="inlineStr"/>
      <c r="D40" t="n">
        <v>7</v>
      </c>
      <c r="E40">
        <f>IF(AND(B40&gt;0,C40&gt;0), B40 * (1 + C40/30) * CHOOSE(D40-4,0.80,0.84,0.88,0.92,0.96,1.00),"")</f>
        <v/>
      </c>
    </row>
    <row r="41">
      <c r="A41" t="inlineStr">
        <is>
          <t>Leg Extension</t>
        </is>
      </c>
      <c r="B41" t="inlineStr"/>
      <c r="C41" t="inlineStr"/>
      <c r="D41" t="n">
        <v>8</v>
      </c>
      <c r="E41">
        <f>IF(AND(B41&gt;0,C41&gt;0), B41 * (1 + C41/30) * CHOOSE(D41-4,0.80,0.84,0.88,0.92,0.96,1.00),"")</f>
        <v/>
      </c>
    </row>
    <row r="42">
      <c r="A42" t="inlineStr">
        <is>
          <t>Leg Extension</t>
        </is>
      </c>
      <c r="B42" t="inlineStr"/>
      <c r="C42" t="inlineStr"/>
      <c r="D42" t="n">
        <v>9</v>
      </c>
      <c r="E42">
        <f>IF(AND(B42&gt;0,C42&gt;0), B42 * (1 + C42/30) * CHOOSE(D42-4,0.80,0.84,0.88,0.92,0.96,1.00),"")</f>
        <v/>
      </c>
    </row>
    <row r="43">
      <c r="A43" t="inlineStr">
        <is>
          <t>Leg Extension</t>
        </is>
      </c>
      <c r="B43" t="inlineStr"/>
      <c r="C43" t="inlineStr"/>
      <c r="D43" t="n">
        <v>10</v>
      </c>
      <c r="E43">
        <f>IF(AND(B43&gt;0,C43&gt;0), B43 * (1 + C43/30) * CHOOSE(D43-4,0.80,0.84,0.88,0.92,0.96,1.00),"")</f>
        <v/>
      </c>
    </row>
    <row r="44">
      <c r="A44" t="inlineStr">
        <is>
          <t>Leg Curl</t>
        </is>
      </c>
      <c r="B44" t="inlineStr"/>
      <c r="C44" t="inlineStr"/>
      <c r="D44" t="n">
        <v>5</v>
      </c>
      <c r="E44">
        <f>IF(AND(B44&gt;0,C44&gt;0), B44 * (1 + C44/30) * CHOOSE(D44-4,0.80,0.84,0.88,0.92,0.96,1.00),"")</f>
        <v/>
      </c>
    </row>
    <row r="45">
      <c r="A45" t="inlineStr">
        <is>
          <t>Leg Curl</t>
        </is>
      </c>
      <c r="B45" t="inlineStr"/>
      <c r="C45" t="inlineStr"/>
      <c r="D45" t="n">
        <v>6</v>
      </c>
      <c r="E45">
        <f>IF(AND(B45&gt;0,C45&gt;0), B45 * (1 + C45/30) * CHOOSE(D45-4,0.80,0.84,0.88,0.92,0.96,1.00),"")</f>
        <v/>
      </c>
    </row>
    <row r="46">
      <c r="A46" t="inlineStr">
        <is>
          <t>Leg Curl</t>
        </is>
      </c>
      <c r="B46" t="inlineStr"/>
      <c r="C46" t="inlineStr"/>
      <c r="D46" t="n">
        <v>7</v>
      </c>
      <c r="E46">
        <f>IF(AND(B46&gt;0,C46&gt;0), B46 * (1 + C46/30) * CHOOSE(D46-4,0.80,0.84,0.88,0.92,0.96,1.00),"")</f>
        <v/>
      </c>
    </row>
    <row r="47">
      <c r="A47" t="inlineStr">
        <is>
          <t>Leg Curl</t>
        </is>
      </c>
      <c r="B47" t="inlineStr"/>
      <c r="C47" t="inlineStr"/>
      <c r="D47" t="n">
        <v>8</v>
      </c>
      <c r="E47">
        <f>IF(AND(B47&gt;0,C47&gt;0), B47 * (1 + C47/30) * CHOOSE(D47-4,0.80,0.84,0.88,0.92,0.96,1.00),"")</f>
        <v/>
      </c>
    </row>
    <row r="48">
      <c r="A48" t="inlineStr">
        <is>
          <t>Leg Curl</t>
        </is>
      </c>
      <c r="B48" t="inlineStr"/>
      <c r="C48" t="inlineStr"/>
      <c r="D48" t="n">
        <v>9</v>
      </c>
      <c r="E48">
        <f>IF(AND(B48&gt;0,C48&gt;0), B48 * (1 + C48/30) * CHOOSE(D48-4,0.80,0.84,0.88,0.92,0.96,1.00),"")</f>
        <v/>
      </c>
    </row>
    <row r="49">
      <c r="A49" t="inlineStr">
        <is>
          <t>Leg Curl</t>
        </is>
      </c>
      <c r="B49" t="inlineStr"/>
      <c r="C49" t="inlineStr"/>
      <c r="D49" t="n">
        <v>10</v>
      </c>
      <c r="E49">
        <f>IF(AND(B49&gt;0,C49&gt;0), B49 * (1 + C49/30) * CHOOSE(D49-4,0.80,0.84,0.88,0.92,0.96,1.00),"")</f>
        <v/>
      </c>
    </row>
    <row r="50">
      <c r="A50" t="inlineStr">
        <is>
          <t>Calf Raise</t>
        </is>
      </c>
      <c r="B50" t="inlineStr"/>
      <c r="C50" t="inlineStr"/>
      <c r="D50" t="n">
        <v>5</v>
      </c>
      <c r="E50">
        <f>IF(AND(B50&gt;0,C50&gt;0), B50 * (1 + C50/30) * CHOOSE(D50-4,0.80,0.84,0.88,0.92,0.96,1.00),"")</f>
        <v/>
      </c>
    </row>
    <row r="51">
      <c r="A51" t="inlineStr">
        <is>
          <t>Calf Raise</t>
        </is>
      </c>
      <c r="B51" t="inlineStr"/>
      <c r="C51" t="inlineStr"/>
      <c r="D51" t="n">
        <v>6</v>
      </c>
      <c r="E51">
        <f>IF(AND(B51&gt;0,C51&gt;0), B51 * (1 + C51/30) * CHOOSE(D51-4,0.80,0.84,0.88,0.92,0.96,1.00),"")</f>
        <v/>
      </c>
    </row>
    <row r="52">
      <c r="A52" t="inlineStr">
        <is>
          <t>Calf Raise</t>
        </is>
      </c>
      <c r="B52" t="inlineStr"/>
      <c r="C52" t="inlineStr"/>
      <c r="D52" t="n">
        <v>7</v>
      </c>
      <c r="E52">
        <f>IF(AND(B52&gt;0,C52&gt;0), B52 * (1 + C52/30) * CHOOSE(D52-4,0.80,0.84,0.88,0.92,0.96,1.00),"")</f>
        <v/>
      </c>
    </row>
    <row r="53">
      <c r="A53" t="inlineStr">
        <is>
          <t>Calf Raise</t>
        </is>
      </c>
      <c r="B53" t="inlineStr"/>
      <c r="C53" t="inlineStr"/>
      <c r="D53" t="n">
        <v>8</v>
      </c>
      <c r="E53">
        <f>IF(AND(B53&gt;0,C53&gt;0), B53 * (1 + C53/30) * CHOOSE(D53-4,0.80,0.84,0.88,0.92,0.96,1.00),"")</f>
        <v/>
      </c>
    </row>
    <row r="54">
      <c r="A54" t="inlineStr">
        <is>
          <t>Calf Raise</t>
        </is>
      </c>
      <c r="B54" t="inlineStr"/>
      <c r="C54" t="inlineStr"/>
      <c r="D54" t="n">
        <v>9</v>
      </c>
      <c r="E54">
        <f>IF(AND(B54&gt;0,C54&gt;0), B54 * (1 + C54/30) * CHOOSE(D54-4,0.80,0.84,0.88,0.92,0.96,1.00),"")</f>
        <v/>
      </c>
    </row>
    <row r="55">
      <c r="A55" t="inlineStr">
        <is>
          <t>Calf Raise</t>
        </is>
      </c>
      <c r="B55" t="inlineStr"/>
      <c r="C55" t="inlineStr"/>
      <c r="D55" t="n">
        <v>10</v>
      </c>
      <c r="E55">
        <f>IF(AND(B55&gt;0,C55&gt;0), B55 * (1 + C55/30) * CHOOSE(D55-4,0.80,0.84,0.88,0.92,0.96,1.00),"")</f>
        <v/>
      </c>
    </row>
    <row r="56">
      <c r="A56" t="inlineStr">
        <is>
          <t>Bench Press</t>
        </is>
      </c>
      <c r="B56" t="inlineStr"/>
      <c r="C56" t="inlineStr"/>
      <c r="D56" t="n">
        <v>5</v>
      </c>
      <c r="E56">
        <f>IF(AND(B56&gt;0,C56&gt;0), B56 * (1 + C56/30) * CHOOSE(D56-4,0.80,0.84,0.88,0.92,0.96,1.00),"")</f>
        <v/>
      </c>
    </row>
    <row r="57">
      <c r="A57" t="inlineStr">
        <is>
          <t>Bench Press</t>
        </is>
      </c>
      <c r="B57" t="inlineStr"/>
      <c r="C57" t="inlineStr"/>
      <c r="D57" t="n">
        <v>6</v>
      </c>
      <c r="E57">
        <f>IF(AND(B57&gt;0,C57&gt;0), B57 * (1 + C57/30) * CHOOSE(D57-4,0.80,0.84,0.88,0.92,0.96,1.00),"")</f>
        <v/>
      </c>
    </row>
    <row r="58">
      <c r="A58" t="inlineStr">
        <is>
          <t>Bench Press</t>
        </is>
      </c>
      <c r="B58" t="inlineStr"/>
      <c r="C58" t="inlineStr"/>
      <c r="D58" t="n">
        <v>7</v>
      </c>
      <c r="E58">
        <f>IF(AND(B58&gt;0,C58&gt;0), B58 * (1 + C58/30) * CHOOSE(D58-4,0.80,0.84,0.88,0.92,0.96,1.00),"")</f>
        <v/>
      </c>
    </row>
    <row r="59">
      <c r="A59" t="inlineStr">
        <is>
          <t>Bench Press</t>
        </is>
      </c>
      <c r="B59" t="inlineStr"/>
      <c r="C59" t="inlineStr"/>
      <c r="D59" t="n">
        <v>8</v>
      </c>
      <c r="E59">
        <f>IF(AND(B59&gt;0,C59&gt;0), B59 * (1 + C59/30) * CHOOSE(D59-4,0.80,0.84,0.88,0.92,0.96,1.00),"")</f>
        <v/>
      </c>
    </row>
    <row r="60">
      <c r="A60" t="inlineStr">
        <is>
          <t>Bench Press</t>
        </is>
      </c>
      <c r="B60" t="inlineStr"/>
      <c r="C60" t="inlineStr"/>
      <c r="D60" t="n">
        <v>9</v>
      </c>
      <c r="E60">
        <f>IF(AND(B60&gt;0,C60&gt;0), B60 * (1 + C60/30) * CHOOSE(D60-4,0.80,0.84,0.88,0.92,0.96,1.00),"")</f>
        <v/>
      </c>
    </row>
    <row r="61">
      <c r="A61" t="inlineStr">
        <is>
          <t>Bench Press</t>
        </is>
      </c>
      <c r="B61" t="inlineStr"/>
      <c r="C61" t="inlineStr"/>
      <c r="D61" t="n">
        <v>10</v>
      </c>
      <c r="E61">
        <f>IF(AND(B61&gt;0,C61&gt;0), B61 * (1 + C61/30) * CHOOSE(D61-4,0.80,0.84,0.88,0.92,0.96,1.00),"")</f>
        <v/>
      </c>
    </row>
    <row r="62">
      <c r="A62" t="inlineStr">
        <is>
          <t>Weighted Push-ups</t>
        </is>
      </c>
      <c r="B62" t="inlineStr"/>
      <c r="C62" t="inlineStr"/>
      <c r="D62" t="n">
        <v>5</v>
      </c>
      <c r="E62">
        <f>IF(AND(B62&gt;0,C62&gt;0), B62 * (1 + C62/30) * CHOOSE(D62-4,0.80,0.84,0.88,0.92,0.96,1.00),"")</f>
        <v/>
      </c>
    </row>
    <row r="63">
      <c r="A63" t="inlineStr">
        <is>
          <t>Weighted Push-ups</t>
        </is>
      </c>
      <c r="B63" t="inlineStr"/>
      <c r="C63" t="inlineStr"/>
      <c r="D63" t="n">
        <v>6</v>
      </c>
      <c r="E63">
        <f>IF(AND(B63&gt;0,C63&gt;0), B63 * (1 + C63/30) * CHOOSE(D63-4,0.80,0.84,0.88,0.92,0.96,1.00),"")</f>
        <v/>
      </c>
    </row>
    <row r="64">
      <c r="A64" t="inlineStr">
        <is>
          <t>Weighted Push-ups</t>
        </is>
      </c>
      <c r="B64" t="inlineStr"/>
      <c r="C64" t="inlineStr"/>
      <c r="D64" t="n">
        <v>7</v>
      </c>
      <c r="E64">
        <f>IF(AND(B64&gt;0,C64&gt;0), B64 * (1 + C64/30) * CHOOSE(D64-4,0.80,0.84,0.88,0.92,0.96,1.00),"")</f>
        <v/>
      </c>
    </row>
    <row r="65">
      <c r="A65" t="inlineStr">
        <is>
          <t>Weighted Push-ups</t>
        </is>
      </c>
      <c r="B65" t="inlineStr"/>
      <c r="C65" t="inlineStr"/>
      <c r="D65" t="n">
        <v>8</v>
      </c>
      <c r="E65">
        <f>IF(AND(B65&gt;0,C65&gt;0), B65 * (1 + C65/30) * CHOOSE(D65-4,0.80,0.84,0.88,0.92,0.96,1.00),"")</f>
        <v/>
      </c>
    </row>
    <row r="66">
      <c r="A66" t="inlineStr">
        <is>
          <t>Weighted Push-ups</t>
        </is>
      </c>
      <c r="B66" t="inlineStr"/>
      <c r="C66" t="inlineStr"/>
      <c r="D66" t="n">
        <v>9</v>
      </c>
      <c r="E66">
        <f>IF(AND(B66&gt;0,C66&gt;0), B66 * (1 + C66/30) * CHOOSE(D66-4,0.80,0.84,0.88,0.92,0.96,1.00),"")</f>
        <v/>
      </c>
    </row>
    <row r="67">
      <c r="A67" t="inlineStr">
        <is>
          <t>Weighted Push-ups</t>
        </is>
      </c>
      <c r="B67" t="inlineStr"/>
      <c r="C67" t="inlineStr"/>
      <c r="D67" t="n">
        <v>10</v>
      </c>
      <c r="E67">
        <f>IF(AND(B67&gt;0,C67&gt;0), B67 * (1 + C67/30) * CHOOSE(D67-4,0.80,0.84,0.88,0.92,0.96,1.00),"")</f>
        <v/>
      </c>
    </row>
    <row r="68">
      <c r="A68" t="inlineStr">
        <is>
          <t>Dips</t>
        </is>
      </c>
      <c r="B68" t="inlineStr"/>
      <c r="C68" t="inlineStr"/>
      <c r="D68" t="n">
        <v>5</v>
      </c>
      <c r="E68">
        <f>IF(AND(B68&gt;0,C68&gt;0), B68 * (1 + C68/30) * CHOOSE(D68-4,0.80,0.84,0.88,0.92,0.96,1.00),"")</f>
        <v/>
      </c>
    </row>
    <row r="69">
      <c r="A69" t="inlineStr">
        <is>
          <t>Dips</t>
        </is>
      </c>
      <c r="B69" t="inlineStr"/>
      <c r="C69" t="inlineStr"/>
      <c r="D69" t="n">
        <v>6</v>
      </c>
      <c r="E69">
        <f>IF(AND(B69&gt;0,C69&gt;0), B69 * (1 + C69/30) * CHOOSE(D69-4,0.80,0.84,0.88,0.92,0.96,1.00),"")</f>
        <v/>
      </c>
    </row>
    <row r="70">
      <c r="A70" t="inlineStr">
        <is>
          <t>Dips</t>
        </is>
      </c>
      <c r="B70" t="inlineStr"/>
      <c r="C70" t="inlineStr"/>
      <c r="D70" t="n">
        <v>7</v>
      </c>
      <c r="E70">
        <f>IF(AND(B70&gt;0,C70&gt;0), B70 * (1 + C70/30) * CHOOSE(D70-4,0.80,0.84,0.88,0.92,0.96,1.00),"")</f>
        <v/>
      </c>
    </row>
    <row r="71">
      <c r="A71" t="inlineStr">
        <is>
          <t>Dips</t>
        </is>
      </c>
      <c r="B71" t="inlineStr"/>
      <c r="C71" t="inlineStr"/>
      <c r="D71" t="n">
        <v>8</v>
      </c>
      <c r="E71">
        <f>IF(AND(B71&gt;0,C71&gt;0), B71 * (1 + C71/30) * CHOOSE(D71-4,0.80,0.84,0.88,0.92,0.96,1.00),"")</f>
        <v/>
      </c>
    </row>
    <row r="72">
      <c r="A72" t="inlineStr">
        <is>
          <t>Dips</t>
        </is>
      </c>
      <c r="B72" t="inlineStr"/>
      <c r="C72" t="inlineStr"/>
      <c r="D72" t="n">
        <v>9</v>
      </c>
      <c r="E72">
        <f>IF(AND(B72&gt;0,C72&gt;0), B72 * (1 + C72/30) * CHOOSE(D72-4,0.80,0.84,0.88,0.92,0.96,1.00),"")</f>
        <v/>
      </c>
    </row>
    <row r="73">
      <c r="A73" t="inlineStr">
        <is>
          <t>Dips</t>
        </is>
      </c>
      <c r="B73" t="inlineStr"/>
      <c r="C73" t="inlineStr"/>
      <c r="D73" t="n">
        <v>10</v>
      </c>
      <c r="E73">
        <f>IF(AND(B73&gt;0,C73&gt;0), B73 * (1 + C73/30) * CHOOSE(D73-4,0.80,0.84,0.88,0.92,0.96,1.00),"")</f>
        <v/>
      </c>
    </row>
    <row r="74">
      <c r="A74" t="inlineStr">
        <is>
          <t>Handstand Push-up</t>
        </is>
      </c>
      <c r="B74" t="inlineStr"/>
      <c r="C74" t="inlineStr"/>
      <c r="D74" t="n">
        <v>5</v>
      </c>
      <c r="E74">
        <f>IF(AND(B74&gt;0,C74&gt;0), B74 * (1 + C74/30) * CHOOSE(D74-4,0.80,0.84,0.88,0.92,0.96,1.00),"")</f>
        <v/>
      </c>
    </row>
    <row r="75">
      <c r="A75" t="inlineStr">
        <is>
          <t>Handstand Push-up</t>
        </is>
      </c>
      <c r="B75" t="inlineStr"/>
      <c r="C75" t="inlineStr"/>
      <c r="D75" t="n">
        <v>6</v>
      </c>
      <c r="E75">
        <f>IF(AND(B75&gt;0,C75&gt;0), B75 * (1 + C75/30) * CHOOSE(D75-4,0.80,0.84,0.88,0.92,0.96,1.00),"")</f>
        <v/>
      </c>
    </row>
    <row r="76">
      <c r="A76" t="inlineStr">
        <is>
          <t>Handstand Push-up</t>
        </is>
      </c>
      <c r="B76" t="inlineStr"/>
      <c r="C76" t="inlineStr"/>
      <c r="D76" t="n">
        <v>7</v>
      </c>
      <c r="E76">
        <f>IF(AND(B76&gt;0,C76&gt;0), B76 * (1 + C76/30) * CHOOSE(D76-4,0.80,0.84,0.88,0.92,0.96,1.00),"")</f>
        <v/>
      </c>
    </row>
    <row r="77">
      <c r="A77" t="inlineStr">
        <is>
          <t>Handstand Push-up</t>
        </is>
      </c>
      <c r="B77" t="inlineStr"/>
      <c r="C77" t="inlineStr"/>
      <c r="D77" t="n">
        <v>8</v>
      </c>
      <c r="E77">
        <f>IF(AND(B77&gt;0,C77&gt;0), B77 * (1 + C77/30) * CHOOSE(D77-4,0.80,0.84,0.88,0.92,0.96,1.00),"")</f>
        <v/>
      </c>
    </row>
    <row r="78">
      <c r="A78" t="inlineStr">
        <is>
          <t>Handstand Push-up</t>
        </is>
      </c>
      <c r="B78" t="inlineStr"/>
      <c r="C78" t="inlineStr"/>
      <c r="D78" t="n">
        <v>9</v>
      </c>
      <c r="E78">
        <f>IF(AND(B78&gt;0,C78&gt;0), B78 * (1 + C78/30) * CHOOSE(D78-4,0.80,0.84,0.88,0.92,0.96,1.00),"")</f>
        <v/>
      </c>
    </row>
    <row r="79">
      <c r="A79" t="inlineStr">
        <is>
          <t>Handstand Push-up</t>
        </is>
      </c>
      <c r="B79" t="inlineStr"/>
      <c r="C79" t="inlineStr"/>
      <c r="D79" t="n">
        <v>10</v>
      </c>
      <c r="E79">
        <f>IF(AND(B79&gt;0,C79&gt;0), B79 * (1 + C79/30) * CHOOSE(D79-4,0.80,0.84,0.88,0.92,0.96,1.00),"")</f>
        <v/>
      </c>
    </row>
    <row r="80">
      <c r="A80" t="inlineStr">
        <is>
          <t>Military Press</t>
        </is>
      </c>
      <c r="B80" t="inlineStr"/>
      <c r="C80" t="inlineStr"/>
      <c r="D80" t="n">
        <v>5</v>
      </c>
      <c r="E80">
        <f>IF(AND(B80&gt;0,C80&gt;0), B80 * (1 + C80/30) * CHOOSE(D80-4,0.80,0.84,0.88,0.92,0.96,1.00),"")</f>
        <v/>
      </c>
    </row>
    <row r="81">
      <c r="A81" t="inlineStr">
        <is>
          <t>Military Press</t>
        </is>
      </c>
      <c r="B81" t="inlineStr"/>
      <c r="C81" t="inlineStr"/>
      <c r="D81" t="n">
        <v>6</v>
      </c>
      <c r="E81">
        <f>IF(AND(B81&gt;0,C81&gt;0), B81 * (1 + C81/30) * CHOOSE(D81-4,0.80,0.84,0.88,0.92,0.96,1.00),"")</f>
        <v/>
      </c>
    </row>
    <row r="82">
      <c r="A82" t="inlineStr">
        <is>
          <t>Military Press</t>
        </is>
      </c>
      <c r="B82" t="inlineStr"/>
      <c r="C82" t="inlineStr"/>
      <c r="D82" t="n">
        <v>7</v>
      </c>
      <c r="E82">
        <f>IF(AND(B82&gt;0,C82&gt;0), B82 * (1 + C82/30) * CHOOSE(D82-4,0.80,0.84,0.88,0.92,0.96,1.00),"")</f>
        <v/>
      </c>
    </row>
    <row r="83">
      <c r="A83" t="inlineStr">
        <is>
          <t>Military Press</t>
        </is>
      </c>
      <c r="B83" t="inlineStr"/>
      <c r="C83" t="inlineStr"/>
      <c r="D83" t="n">
        <v>8</v>
      </c>
      <c r="E83">
        <f>IF(AND(B83&gt;0,C83&gt;0), B83 * (1 + C83/30) * CHOOSE(D83-4,0.80,0.84,0.88,0.92,0.96,1.00),"")</f>
        <v/>
      </c>
    </row>
    <row r="84">
      <c r="A84" t="inlineStr">
        <is>
          <t>Military Press</t>
        </is>
      </c>
      <c r="B84" t="inlineStr"/>
      <c r="C84" t="inlineStr"/>
      <c r="D84" t="n">
        <v>9</v>
      </c>
      <c r="E84">
        <f>IF(AND(B84&gt;0,C84&gt;0), B84 * (1 + C84/30) * CHOOSE(D84-4,0.80,0.84,0.88,0.92,0.96,1.00),"")</f>
        <v/>
      </c>
    </row>
    <row r="85">
      <c r="A85" t="inlineStr">
        <is>
          <t>Military Press</t>
        </is>
      </c>
      <c r="B85" t="inlineStr"/>
      <c r="C85" t="inlineStr"/>
      <c r="D85" t="n">
        <v>10</v>
      </c>
      <c r="E85">
        <f>IF(AND(B85&gt;0,C85&gt;0), B85 * (1 + C85/30) * CHOOSE(D85-4,0.80,0.84,0.88,0.92,0.96,1.00),"")</f>
        <v/>
      </c>
    </row>
    <row r="86">
      <c r="A86" t="inlineStr">
        <is>
          <t>Incline Fly</t>
        </is>
      </c>
      <c r="B86" t="inlineStr"/>
      <c r="C86" t="inlineStr"/>
      <c r="D86" t="n">
        <v>5</v>
      </c>
      <c r="E86">
        <f>IF(AND(B86&gt;0,C86&gt;0), B86 * (1 + C86/30) * CHOOSE(D86-4,0.80,0.84,0.88,0.92,0.96,1.00),"")</f>
        <v/>
      </c>
    </row>
    <row r="87">
      <c r="A87" t="inlineStr">
        <is>
          <t>Incline Fly</t>
        </is>
      </c>
      <c r="B87" t="inlineStr"/>
      <c r="C87" t="inlineStr"/>
      <c r="D87" t="n">
        <v>6</v>
      </c>
      <c r="E87">
        <f>IF(AND(B87&gt;0,C87&gt;0), B87 * (1 + C87/30) * CHOOSE(D87-4,0.80,0.84,0.88,0.92,0.96,1.00),"")</f>
        <v/>
      </c>
    </row>
    <row r="88">
      <c r="A88" t="inlineStr">
        <is>
          <t>Incline Fly</t>
        </is>
      </c>
      <c r="B88" t="inlineStr"/>
      <c r="C88" t="inlineStr"/>
      <c r="D88" t="n">
        <v>7</v>
      </c>
      <c r="E88">
        <f>IF(AND(B88&gt;0,C88&gt;0), B88 * (1 + C88/30) * CHOOSE(D88-4,0.80,0.84,0.88,0.92,0.96,1.00),"")</f>
        <v/>
      </c>
    </row>
    <row r="89">
      <c r="A89" t="inlineStr">
        <is>
          <t>Incline Fly</t>
        </is>
      </c>
      <c r="B89" t="inlineStr"/>
      <c r="C89" t="inlineStr"/>
      <c r="D89" t="n">
        <v>8</v>
      </c>
      <c r="E89">
        <f>IF(AND(B89&gt;0,C89&gt;0), B89 * (1 + C89/30) * CHOOSE(D89-4,0.80,0.84,0.88,0.92,0.96,1.00),"")</f>
        <v/>
      </c>
    </row>
    <row r="90">
      <c r="A90" t="inlineStr">
        <is>
          <t>Incline Fly</t>
        </is>
      </c>
      <c r="B90" t="inlineStr"/>
      <c r="C90" t="inlineStr"/>
      <c r="D90" t="n">
        <v>9</v>
      </c>
      <c r="E90">
        <f>IF(AND(B90&gt;0,C90&gt;0), B90 * (1 + C90/30) * CHOOSE(D90-4,0.80,0.84,0.88,0.92,0.96,1.00),"")</f>
        <v/>
      </c>
    </row>
    <row r="91">
      <c r="A91" t="inlineStr">
        <is>
          <t>Incline Fly</t>
        </is>
      </c>
      <c r="B91" t="inlineStr"/>
      <c r="C91" t="inlineStr"/>
      <c r="D91" t="n">
        <v>10</v>
      </c>
      <c r="E91">
        <f>IF(AND(B91&gt;0,C91&gt;0), B91 * (1 + C91/30) * CHOOSE(D91-4,0.80,0.84,0.88,0.92,0.96,1.00),"")</f>
        <v/>
      </c>
    </row>
    <row r="92">
      <c r="A92" t="inlineStr">
        <is>
          <t>Lateral Raise</t>
        </is>
      </c>
      <c r="B92" t="inlineStr"/>
      <c r="C92" t="inlineStr"/>
      <c r="D92" t="n">
        <v>5</v>
      </c>
      <c r="E92">
        <f>IF(AND(B92&gt;0,C92&gt;0), B92 * (1 + C92/30) * CHOOSE(D92-4,0.80,0.84,0.88,0.92,0.96,1.00),"")</f>
        <v/>
      </c>
    </row>
    <row r="93">
      <c r="A93" t="inlineStr">
        <is>
          <t>Lateral Raise</t>
        </is>
      </c>
      <c r="B93" t="inlineStr"/>
      <c r="C93" t="inlineStr"/>
      <c r="D93" t="n">
        <v>6</v>
      </c>
      <c r="E93">
        <f>IF(AND(B93&gt;0,C93&gt;0), B93 * (1 + C93/30) * CHOOSE(D93-4,0.80,0.84,0.88,0.92,0.96,1.00),"")</f>
        <v/>
      </c>
    </row>
    <row r="94">
      <c r="A94" t="inlineStr">
        <is>
          <t>Lateral Raise</t>
        </is>
      </c>
      <c r="B94" t="inlineStr"/>
      <c r="C94" t="inlineStr"/>
      <c r="D94" t="n">
        <v>7</v>
      </c>
      <c r="E94">
        <f>IF(AND(B94&gt;0,C94&gt;0), B94 * (1 + C94/30) * CHOOSE(D94-4,0.80,0.84,0.88,0.92,0.96,1.00),"")</f>
        <v/>
      </c>
    </row>
    <row r="95">
      <c r="A95" t="inlineStr">
        <is>
          <t>Lateral Raise</t>
        </is>
      </c>
      <c r="B95" t="inlineStr"/>
      <c r="C95" t="inlineStr"/>
      <c r="D95" t="n">
        <v>8</v>
      </c>
      <c r="E95">
        <f>IF(AND(B95&gt;0,C95&gt;0), B95 * (1 + C95/30) * CHOOSE(D95-4,0.80,0.84,0.88,0.92,0.96,1.00),"")</f>
        <v/>
      </c>
    </row>
    <row r="96">
      <c r="A96" t="inlineStr">
        <is>
          <t>Lateral Raise</t>
        </is>
      </c>
      <c r="B96" t="inlineStr"/>
      <c r="C96" t="inlineStr"/>
      <c r="D96" t="n">
        <v>9</v>
      </c>
      <c r="E96">
        <f>IF(AND(B96&gt;0,C96&gt;0), B96 * (1 + C96/30) * CHOOSE(D96-4,0.80,0.84,0.88,0.92,0.96,1.00),"")</f>
        <v/>
      </c>
    </row>
    <row r="97">
      <c r="A97" t="inlineStr">
        <is>
          <t>Lateral Raise</t>
        </is>
      </c>
      <c r="B97" t="inlineStr"/>
      <c r="C97" t="inlineStr"/>
      <c r="D97" t="n">
        <v>10</v>
      </c>
      <c r="E97">
        <f>IF(AND(B97&gt;0,C97&gt;0), B97 * (1 + C97/30) * CHOOSE(D97-4,0.80,0.84,0.88,0.92,0.96,1.00),"")</f>
        <v/>
      </c>
    </row>
    <row r="98">
      <c r="A98" t="inlineStr">
        <is>
          <t>Triceps Extension</t>
        </is>
      </c>
      <c r="B98" t="inlineStr"/>
      <c r="C98" t="inlineStr"/>
      <c r="D98" t="n">
        <v>5</v>
      </c>
      <c r="E98">
        <f>IF(AND(B98&gt;0,C98&gt;0), B98 * (1 + C98/30) * CHOOSE(D98-4,0.80,0.84,0.88,0.92,0.96,1.00),"")</f>
        <v/>
      </c>
    </row>
    <row r="99">
      <c r="A99" t="inlineStr">
        <is>
          <t>Triceps Extension</t>
        </is>
      </c>
      <c r="B99" t="inlineStr"/>
      <c r="C99" t="inlineStr"/>
      <c r="D99" t="n">
        <v>6</v>
      </c>
      <c r="E99">
        <f>IF(AND(B99&gt;0,C99&gt;0), B99 * (1 + C99/30) * CHOOSE(D99-4,0.80,0.84,0.88,0.92,0.96,1.00),"")</f>
        <v/>
      </c>
    </row>
    <row r="100">
      <c r="A100" t="inlineStr">
        <is>
          <t>Triceps Extension</t>
        </is>
      </c>
      <c r="B100" t="inlineStr"/>
      <c r="C100" t="inlineStr"/>
      <c r="D100" t="n">
        <v>7</v>
      </c>
      <c r="E100">
        <f>IF(AND(B100&gt;0,C100&gt;0), B100 * (1 + C100/30) * CHOOSE(D100-4,0.80,0.84,0.88,0.92,0.96,1.00),"")</f>
        <v/>
      </c>
    </row>
    <row r="101">
      <c r="A101" t="inlineStr">
        <is>
          <t>Triceps Extension</t>
        </is>
      </c>
      <c r="B101" t="inlineStr"/>
      <c r="C101" t="inlineStr"/>
      <c r="D101" t="n">
        <v>8</v>
      </c>
      <c r="E101">
        <f>IF(AND(B101&gt;0,C101&gt;0), B101 * (1 + C101/30) * CHOOSE(D101-4,0.80,0.84,0.88,0.92,0.96,1.00),"")</f>
        <v/>
      </c>
    </row>
    <row r="102">
      <c r="A102" t="inlineStr">
        <is>
          <t>Triceps Extension</t>
        </is>
      </c>
      <c r="B102" t="inlineStr"/>
      <c r="C102" t="inlineStr"/>
      <c r="D102" t="n">
        <v>9</v>
      </c>
      <c r="E102">
        <f>IF(AND(B102&gt;0,C102&gt;0), B102 * (1 + C102/30) * CHOOSE(D102-4,0.80,0.84,0.88,0.92,0.96,1.00),"")</f>
        <v/>
      </c>
    </row>
    <row r="103">
      <c r="A103" t="inlineStr">
        <is>
          <t>Triceps Extension</t>
        </is>
      </c>
      <c r="B103" t="inlineStr"/>
      <c r="C103" t="inlineStr"/>
      <c r="D103" t="n">
        <v>10</v>
      </c>
      <c r="E103">
        <f>IF(AND(B103&gt;0,C103&gt;0), B103 * (1 + C103/30) * CHOOSE(D103-4,0.80,0.84,0.88,0.92,0.96,1.00),"")</f>
        <v/>
      </c>
    </row>
    <row r="104">
      <c r="A104" t="inlineStr">
        <is>
          <t>Weighted Pull-up</t>
        </is>
      </c>
      <c r="B104" t="inlineStr"/>
      <c r="C104" t="inlineStr"/>
      <c r="D104" t="n">
        <v>5</v>
      </c>
      <c r="E104">
        <f>IF(AND(B104&gt;0,C104&gt;0), B104 * (1 + C104/30) * CHOOSE(D104-4,0.80,0.84,0.88,0.92,0.96,1.00),"")</f>
        <v/>
      </c>
    </row>
    <row r="105">
      <c r="A105" t="inlineStr">
        <is>
          <t>Weighted Pull-up</t>
        </is>
      </c>
      <c r="B105" t="inlineStr"/>
      <c r="C105" t="inlineStr"/>
      <c r="D105" t="n">
        <v>6</v>
      </c>
      <c r="E105">
        <f>IF(AND(B105&gt;0,C105&gt;0), B105 * (1 + C105/30) * CHOOSE(D105-4,0.80,0.84,0.88,0.92,0.96,1.00),"")</f>
        <v/>
      </c>
    </row>
    <row r="106">
      <c r="A106" t="inlineStr">
        <is>
          <t>Weighted Pull-up</t>
        </is>
      </c>
      <c r="B106" t="inlineStr"/>
      <c r="C106" t="inlineStr"/>
      <c r="D106" t="n">
        <v>7</v>
      </c>
      <c r="E106">
        <f>IF(AND(B106&gt;0,C106&gt;0), B106 * (1 + C106/30) * CHOOSE(D106-4,0.80,0.84,0.88,0.92,0.96,1.00),"")</f>
        <v/>
      </c>
    </row>
    <row r="107">
      <c r="A107" t="inlineStr">
        <is>
          <t>Weighted Pull-up</t>
        </is>
      </c>
      <c r="B107" t="inlineStr"/>
      <c r="C107" t="inlineStr"/>
      <c r="D107" t="n">
        <v>8</v>
      </c>
      <c r="E107">
        <f>IF(AND(B107&gt;0,C107&gt;0), B107 * (1 + C107/30) * CHOOSE(D107-4,0.80,0.84,0.88,0.92,0.96,1.00),"")</f>
        <v/>
      </c>
    </row>
    <row r="108">
      <c r="A108" t="inlineStr">
        <is>
          <t>Weighted Pull-up</t>
        </is>
      </c>
      <c r="B108" t="inlineStr"/>
      <c r="C108" t="inlineStr"/>
      <c r="D108" t="n">
        <v>9</v>
      </c>
      <c r="E108">
        <f>IF(AND(B108&gt;0,C108&gt;0), B108 * (1 + C108/30) * CHOOSE(D108-4,0.80,0.84,0.88,0.92,0.96,1.00),"")</f>
        <v/>
      </c>
    </row>
    <row r="109">
      <c r="A109" t="inlineStr">
        <is>
          <t>Weighted Pull-up</t>
        </is>
      </c>
      <c r="B109" t="inlineStr"/>
      <c r="C109" t="inlineStr"/>
      <c r="D109" t="n">
        <v>10</v>
      </c>
      <c r="E109">
        <f>IF(AND(B109&gt;0,C109&gt;0), B109 * (1 + C109/30) * CHOOSE(D109-4,0.80,0.84,0.88,0.92,0.96,1.00),"")</f>
        <v/>
      </c>
    </row>
    <row r="110">
      <c r="A110" t="inlineStr">
        <is>
          <t>Rowing</t>
        </is>
      </c>
      <c r="B110" t="inlineStr"/>
      <c r="C110" t="inlineStr"/>
      <c r="D110" t="n">
        <v>5</v>
      </c>
      <c r="E110">
        <f>IF(AND(B110&gt;0,C110&gt;0), B110 * (1 + C110/30) * CHOOSE(D110-4,0.80,0.84,0.88,0.92,0.96,1.00),"")</f>
        <v/>
      </c>
    </row>
    <row r="111">
      <c r="A111" t="inlineStr">
        <is>
          <t>Rowing</t>
        </is>
      </c>
      <c r="B111" t="inlineStr"/>
      <c r="C111" t="inlineStr"/>
      <c r="D111" t="n">
        <v>6</v>
      </c>
      <c r="E111">
        <f>IF(AND(B111&gt;0,C111&gt;0), B111 * (1 + C111/30) * CHOOSE(D111-4,0.80,0.84,0.88,0.92,0.96,1.00),"")</f>
        <v/>
      </c>
    </row>
    <row r="112">
      <c r="A112" t="inlineStr">
        <is>
          <t>Rowing</t>
        </is>
      </c>
      <c r="B112" t="inlineStr"/>
      <c r="C112" t="inlineStr"/>
      <c r="D112" t="n">
        <v>7</v>
      </c>
      <c r="E112">
        <f>IF(AND(B112&gt;0,C112&gt;0), B112 * (1 + C112/30) * CHOOSE(D112-4,0.80,0.84,0.88,0.92,0.96,1.00),"")</f>
        <v/>
      </c>
    </row>
    <row r="113">
      <c r="A113" t="inlineStr">
        <is>
          <t>Rowing</t>
        </is>
      </c>
      <c r="B113" t="inlineStr"/>
      <c r="C113" t="inlineStr"/>
      <c r="D113" t="n">
        <v>8</v>
      </c>
      <c r="E113">
        <f>IF(AND(B113&gt;0,C113&gt;0), B113 * (1 + C113/30) * CHOOSE(D113-4,0.80,0.84,0.88,0.92,0.96,1.00),"")</f>
        <v/>
      </c>
    </row>
    <row r="114">
      <c r="A114" t="inlineStr">
        <is>
          <t>Rowing</t>
        </is>
      </c>
      <c r="B114" t="inlineStr"/>
      <c r="C114" t="inlineStr"/>
      <c r="D114" t="n">
        <v>9</v>
      </c>
      <c r="E114">
        <f>IF(AND(B114&gt;0,C114&gt;0), B114 * (1 + C114/30) * CHOOSE(D114-4,0.80,0.84,0.88,0.92,0.96,1.00),"")</f>
        <v/>
      </c>
    </row>
    <row r="115">
      <c r="A115" t="inlineStr">
        <is>
          <t>Rowing</t>
        </is>
      </c>
      <c r="B115" t="inlineStr"/>
      <c r="C115" t="inlineStr"/>
      <c r="D115" t="n">
        <v>10</v>
      </c>
      <c r="E115">
        <f>IF(AND(B115&gt;0,C115&gt;0), B115 * (1 + C115/30) * CHOOSE(D115-4,0.80,0.84,0.88,0.92,0.96,1.00),"")</f>
        <v/>
      </c>
    </row>
    <row r="116">
      <c r="A116" t="inlineStr">
        <is>
          <t>Good Morning</t>
        </is>
      </c>
      <c r="B116" t="inlineStr"/>
      <c r="C116" t="inlineStr"/>
      <c r="D116" t="n">
        <v>5</v>
      </c>
      <c r="E116">
        <f>IF(AND(B116&gt;0,C116&gt;0), B116 * (1 + C116/30) * CHOOSE(D116-4,0.80,0.84,0.88,0.92,0.96,1.00),"")</f>
        <v/>
      </c>
    </row>
    <row r="117">
      <c r="A117" t="inlineStr">
        <is>
          <t>Good Morning</t>
        </is>
      </c>
      <c r="B117" t="inlineStr"/>
      <c r="C117" t="inlineStr"/>
      <c r="D117" t="n">
        <v>6</v>
      </c>
      <c r="E117">
        <f>IF(AND(B117&gt;0,C117&gt;0), B117 * (1 + C117/30) * CHOOSE(D117-4,0.80,0.84,0.88,0.92,0.96,1.00),"")</f>
        <v/>
      </c>
    </row>
    <row r="118">
      <c r="A118" t="inlineStr">
        <is>
          <t>Good Morning</t>
        </is>
      </c>
      <c r="B118" t="inlineStr"/>
      <c r="C118" t="inlineStr"/>
      <c r="D118" t="n">
        <v>7</v>
      </c>
      <c r="E118">
        <f>IF(AND(B118&gt;0,C118&gt;0), B118 * (1 + C118/30) * CHOOSE(D118-4,0.80,0.84,0.88,0.92,0.96,1.00),"")</f>
        <v/>
      </c>
    </row>
    <row r="119">
      <c r="A119" t="inlineStr">
        <is>
          <t>Good Morning</t>
        </is>
      </c>
      <c r="B119" t="inlineStr"/>
      <c r="C119" t="inlineStr"/>
      <c r="D119" t="n">
        <v>8</v>
      </c>
      <c r="E119">
        <f>IF(AND(B119&gt;0,C119&gt;0), B119 * (1 + C119/30) * CHOOSE(D119-4,0.80,0.84,0.88,0.92,0.96,1.00),"")</f>
        <v/>
      </c>
    </row>
    <row r="120">
      <c r="A120" t="inlineStr">
        <is>
          <t>Good Morning</t>
        </is>
      </c>
      <c r="B120" t="inlineStr"/>
      <c r="C120" t="inlineStr"/>
      <c r="D120" t="n">
        <v>9</v>
      </c>
      <c r="E120">
        <f>IF(AND(B120&gt;0,C120&gt;0), B120 * (1 + C120/30) * CHOOSE(D120-4,0.80,0.84,0.88,0.92,0.96,1.00),"")</f>
        <v/>
      </c>
    </row>
    <row r="121">
      <c r="A121" t="inlineStr">
        <is>
          <t>Good Morning</t>
        </is>
      </c>
      <c r="B121" t="inlineStr"/>
      <c r="C121" t="inlineStr"/>
      <c r="D121" t="n">
        <v>10</v>
      </c>
      <c r="E121">
        <f>IF(AND(B121&gt;0,C121&gt;0), B121 * (1 + C121/30) * CHOOSE(D121-4,0.80,0.84,0.88,0.92,0.96,1.00),"")</f>
        <v/>
      </c>
    </row>
    <row r="122">
      <c r="A122" t="inlineStr">
        <is>
          <t>Muscle-up</t>
        </is>
      </c>
      <c r="B122" t="inlineStr"/>
      <c r="C122" t="inlineStr"/>
      <c r="D122" t="n">
        <v>5</v>
      </c>
      <c r="E122">
        <f>IF(AND(B122&gt;0,C122&gt;0), B122 * (1 + C122/30) * CHOOSE(D122-4,0.80,0.84,0.88,0.92,0.96,1.00),"")</f>
        <v/>
      </c>
    </row>
    <row r="123">
      <c r="A123" t="inlineStr">
        <is>
          <t>Muscle-up</t>
        </is>
      </c>
      <c r="B123" t="inlineStr"/>
      <c r="C123" t="inlineStr"/>
      <c r="D123" t="n">
        <v>6</v>
      </c>
      <c r="E123">
        <f>IF(AND(B123&gt;0,C123&gt;0), B123 * (1 + C123/30) * CHOOSE(D123-4,0.80,0.84,0.88,0.92,0.96,1.00),"")</f>
        <v/>
      </c>
    </row>
    <row r="124">
      <c r="A124" t="inlineStr">
        <is>
          <t>Muscle-up</t>
        </is>
      </c>
      <c r="B124" t="inlineStr"/>
      <c r="C124" t="inlineStr"/>
      <c r="D124" t="n">
        <v>7</v>
      </c>
      <c r="E124">
        <f>IF(AND(B124&gt;0,C124&gt;0), B124 * (1 + C124/30) * CHOOSE(D124-4,0.80,0.84,0.88,0.92,0.96,1.00),"")</f>
        <v/>
      </c>
    </row>
    <row r="125">
      <c r="A125" t="inlineStr">
        <is>
          <t>Muscle-up</t>
        </is>
      </c>
      <c r="B125" t="inlineStr"/>
      <c r="C125" t="inlineStr"/>
      <c r="D125" t="n">
        <v>8</v>
      </c>
      <c r="E125">
        <f>IF(AND(B125&gt;0,C125&gt;0), B125 * (1 + C125/30) * CHOOSE(D125-4,0.80,0.84,0.88,0.92,0.96,1.00),"")</f>
        <v/>
      </c>
    </row>
    <row r="126">
      <c r="A126" t="inlineStr">
        <is>
          <t>Muscle-up</t>
        </is>
      </c>
      <c r="B126" t="inlineStr"/>
      <c r="C126" t="inlineStr"/>
      <c r="D126" t="n">
        <v>9</v>
      </c>
      <c r="E126">
        <f>IF(AND(B126&gt;0,C126&gt;0), B126 * (1 + C126/30) * CHOOSE(D126-4,0.80,0.84,0.88,0.92,0.96,1.00),"")</f>
        <v/>
      </c>
    </row>
    <row r="127">
      <c r="A127" t="inlineStr">
        <is>
          <t>Muscle-up</t>
        </is>
      </c>
      <c r="B127" t="inlineStr"/>
      <c r="C127" t="inlineStr"/>
      <c r="D127" t="n">
        <v>10</v>
      </c>
      <c r="E127">
        <f>IF(AND(B127&gt;0,C127&gt;0), B127 * (1 + C127/30) * CHOOSE(D127-4,0.80,0.84,0.88,0.92,0.96,1.00),"")</f>
        <v/>
      </c>
    </row>
    <row r="128">
      <c r="A128" t="inlineStr">
        <is>
          <t>Lat Pulldown</t>
        </is>
      </c>
      <c r="B128" t="inlineStr"/>
      <c r="C128" t="inlineStr"/>
      <c r="D128" t="n">
        <v>5</v>
      </c>
      <c r="E128">
        <f>IF(AND(B128&gt;0,C128&gt;0), B128 * (1 + C128/30) * CHOOSE(D128-4,0.80,0.84,0.88,0.92,0.96,1.00),"")</f>
        <v/>
      </c>
    </row>
    <row r="129">
      <c r="A129" t="inlineStr">
        <is>
          <t>Lat Pulldown</t>
        </is>
      </c>
      <c r="B129" t="inlineStr"/>
      <c r="C129" t="inlineStr"/>
      <c r="D129" t="n">
        <v>6</v>
      </c>
      <c r="E129">
        <f>IF(AND(B129&gt;0,C129&gt;0), B129 * (1 + C129/30) * CHOOSE(D129-4,0.80,0.84,0.88,0.92,0.96,1.00),"")</f>
        <v/>
      </c>
    </row>
    <row r="130">
      <c r="A130" t="inlineStr">
        <is>
          <t>Lat Pulldown</t>
        </is>
      </c>
      <c r="B130" t="inlineStr"/>
      <c r="C130" t="inlineStr"/>
      <c r="D130" t="n">
        <v>7</v>
      </c>
      <c r="E130">
        <f>IF(AND(B130&gt;0,C130&gt;0), B130 * (1 + C130/30) * CHOOSE(D130-4,0.80,0.84,0.88,0.92,0.96,1.00),"")</f>
        <v/>
      </c>
    </row>
    <row r="131">
      <c r="A131" t="inlineStr">
        <is>
          <t>Lat Pulldown</t>
        </is>
      </c>
      <c r="B131" t="inlineStr"/>
      <c r="C131" t="inlineStr"/>
      <c r="D131" t="n">
        <v>8</v>
      </c>
      <c r="E131">
        <f>IF(AND(B131&gt;0,C131&gt;0), B131 * (1 + C131/30) * CHOOSE(D131-4,0.80,0.84,0.88,0.92,0.96,1.00),"")</f>
        <v/>
      </c>
    </row>
    <row r="132">
      <c r="A132" t="inlineStr">
        <is>
          <t>Lat Pulldown</t>
        </is>
      </c>
      <c r="B132" t="inlineStr"/>
      <c r="C132" t="inlineStr"/>
      <c r="D132" t="n">
        <v>9</v>
      </c>
      <c r="E132">
        <f>IF(AND(B132&gt;0,C132&gt;0), B132 * (1 + C132/30) * CHOOSE(D132-4,0.80,0.84,0.88,0.92,0.96,1.00),"")</f>
        <v/>
      </c>
    </row>
    <row r="133">
      <c r="A133" t="inlineStr">
        <is>
          <t>Lat Pulldown</t>
        </is>
      </c>
      <c r="B133" t="inlineStr"/>
      <c r="C133" t="inlineStr"/>
      <c r="D133" t="n">
        <v>10</v>
      </c>
      <c r="E133">
        <f>IF(AND(B133&gt;0,C133&gt;0), B133 * (1 + C133/30) * CHOOSE(D133-4,0.80,0.84,0.88,0.92,0.96,1.00),"")</f>
        <v/>
      </c>
    </row>
    <row r="134">
      <c r="A134" t="inlineStr">
        <is>
          <t>Biceps Curl</t>
        </is>
      </c>
      <c r="B134" t="inlineStr"/>
      <c r="C134" t="inlineStr"/>
      <c r="D134" t="n">
        <v>5</v>
      </c>
      <c r="E134">
        <f>IF(AND(B134&gt;0,C134&gt;0), B134 * (1 + C134/30) * CHOOSE(D134-4,0.80,0.84,0.88,0.92,0.96,1.00),"")</f>
        <v/>
      </c>
    </row>
    <row r="135">
      <c r="A135" t="inlineStr">
        <is>
          <t>Biceps Curl</t>
        </is>
      </c>
      <c r="B135" t="inlineStr"/>
      <c r="C135" t="inlineStr"/>
      <c r="D135" t="n">
        <v>6</v>
      </c>
      <c r="E135">
        <f>IF(AND(B135&gt;0,C135&gt;0), B135 * (1 + C135/30) * CHOOSE(D135-4,0.80,0.84,0.88,0.92,0.96,1.00),"")</f>
        <v/>
      </c>
    </row>
    <row r="136">
      <c r="A136" t="inlineStr">
        <is>
          <t>Biceps Curl</t>
        </is>
      </c>
      <c r="B136" t="inlineStr"/>
      <c r="C136" t="inlineStr"/>
      <c r="D136" t="n">
        <v>7</v>
      </c>
      <c r="E136">
        <f>IF(AND(B136&gt;0,C136&gt;0), B136 * (1 + C136/30) * CHOOSE(D136-4,0.80,0.84,0.88,0.92,0.96,1.00),"")</f>
        <v/>
      </c>
    </row>
    <row r="137">
      <c r="A137" t="inlineStr">
        <is>
          <t>Biceps Curl</t>
        </is>
      </c>
      <c r="B137" t="inlineStr"/>
      <c r="C137" t="inlineStr"/>
      <c r="D137" t="n">
        <v>8</v>
      </c>
      <c r="E137">
        <f>IF(AND(B137&gt;0,C137&gt;0), B137 * (1 + C137/30) * CHOOSE(D137-4,0.80,0.84,0.88,0.92,0.96,1.00),"")</f>
        <v/>
      </c>
    </row>
    <row r="138">
      <c r="A138" t="inlineStr">
        <is>
          <t>Biceps Curl</t>
        </is>
      </c>
      <c r="B138" t="inlineStr"/>
      <c r="C138" t="inlineStr"/>
      <c r="D138" t="n">
        <v>9</v>
      </c>
      <c r="E138">
        <f>IF(AND(B138&gt;0,C138&gt;0), B138 * (1 + C138/30) * CHOOSE(D138-4,0.80,0.84,0.88,0.92,0.96,1.00),"")</f>
        <v/>
      </c>
    </row>
    <row r="139">
      <c r="A139" t="inlineStr">
        <is>
          <t>Biceps Curl</t>
        </is>
      </c>
      <c r="B139" t="inlineStr"/>
      <c r="C139" t="inlineStr"/>
      <c r="D139" t="n">
        <v>10</v>
      </c>
      <c r="E139">
        <f>IF(AND(B139&gt;0,C139&gt;0), B139 * (1 + C139/30) * CHOOSE(D139-4,0.80,0.84,0.88,0.92,0.96,1.00),"")</f>
        <v/>
      </c>
    </row>
    <row r="140">
      <c r="A140" t="inlineStr">
        <is>
          <t>Face Pull</t>
        </is>
      </c>
      <c r="B140" t="inlineStr"/>
      <c r="C140" t="inlineStr"/>
      <c r="D140" t="n">
        <v>5</v>
      </c>
      <c r="E140">
        <f>IF(AND(B140&gt;0,C140&gt;0), B140 * (1 + C140/30) * CHOOSE(D140-4,0.80,0.84,0.88,0.92,0.96,1.00),"")</f>
        <v/>
      </c>
    </row>
    <row r="141">
      <c r="A141" t="inlineStr">
        <is>
          <t>Face Pull</t>
        </is>
      </c>
      <c r="B141" t="inlineStr"/>
      <c r="C141" t="inlineStr"/>
      <c r="D141" t="n">
        <v>6</v>
      </c>
      <c r="E141">
        <f>IF(AND(B141&gt;0,C141&gt;0), B141 * (1 + C141/30) * CHOOSE(D141-4,0.80,0.84,0.88,0.92,0.96,1.00),"")</f>
        <v/>
      </c>
    </row>
    <row r="142">
      <c r="A142" t="inlineStr">
        <is>
          <t>Face Pull</t>
        </is>
      </c>
      <c r="B142" t="inlineStr"/>
      <c r="C142" t="inlineStr"/>
      <c r="D142" t="n">
        <v>7</v>
      </c>
      <c r="E142">
        <f>IF(AND(B142&gt;0,C142&gt;0), B142 * (1 + C142/30) * CHOOSE(D142-4,0.80,0.84,0.88,0.92,0.96,1.00),"")</f>
        <v/>
      </c>
    </row>
    <row r="143">
      <c r="A143" t="inlineStr">
        <is>
          <t>Face Pull</t>
        </is>
      </c>
      <c r="B143" t="inlineStr"/>
      <c r="C143" t="inlineStr"/>
      <c r="D143" t="n">
        <v>8</v>
      </c>
      <c r="E143">
        <f>IF(AND(B143&gt;0,C143&gt;0), B143 * (1 + C143/30) * CHOOSE(D143-4,0.80,0.84,0.88,0.92,0.96,1.00),"")</f>
        <v/>
      </c>
    </row>
    <row r="144">
      <c r="A144" t="inlineStr">
        <is>
          <t>Face Pull</t>
        </is>
      </c>
      <c r="B144" t="inlineStr"/>
      <c r="C144" t="inlineStr"/>
      <c r="D144" t="n">
        <v>9</v>
      </c>
      <c r="E144">
        <f>IF(AND(B144&gt;0,C144&gt;0), B144 * (1 + C144/30) * CHOOSE(D144-4,0.80,0.84,0.88,0.92,0.96,1.00),"")</f>
        <v/>
      </c>
    </row>
    <row r="145">
      <c r="A145" t="inlineStr">
        <is>
          <t>Face Pull</t>
        </is>
      </c>
      <c r="B145" t="inlineStr"/>
      <c r="C145" t="inlineStr"/>
      <c r="D145" t="n">
        <v>10</v>
      </c>
      <c r="E145">
        <f>IF(AND(B145&gt;0,C145&gt;0), B145 * (1 + C145/30) * CHOOSE(D145-4,0.80,0.84,0.88,0.92,0.96,1.00),"")</f>
        <v/>
      </c>
    </row>
    <row r="146">
      <c r="A146" t="inlineStr">
        <is>
          <t>Belt Squat</t>
        </is>
      </c>
      <c r="B146" t="inlineStr"/>
      <c r="C146" t="inlineStr"/>
      <c r="D146" t="n">
        <v>5</v>
      </c>
      <c r="E146">
        <f>IF(AND(B146&gt;0,C146&gt;0), B146 * (1 + C146/30) * CHOOSE(D146-4,0.80,0.84,0.88,0.92,0.96,1.00),"")</f>
        <v/>
      </c>
    </row>
    <row r="147">
      <c r="A147" t="inlineStr">
        <is>
          <t>Belt Squat</t>
        </is>
      </c>
      <c r="B147" t="inlineStr"/>
      <c r="C147" t="inlineStr"/>
      <c r="D147" t="n">
        <v>6</v>
      </c>
      <c r="E147">
        <f>IF(AND(B147&gt;0,C147&gt;0), B147 * (1 + C147/30) * CHOOSE(D147-4,0.80,0.84,0.88,0.92,0.96,1.00),"")</f>
        <v/>
      </c>
    </row>
    <row r="148">
      <c r="A148" t="inlineStr">
        <is>
          <t>Belt Squat</t>
        </is>
      </c>
      <c r="B148" t="inlineStr"/>
      <c r="C148" t="inlineStr"/>
      <c r="D148" t="n">
        <v>7</v>
      </c>
      <c r="E148">
        <f>IF(AND(B148&gt;0,C148&gt;0), B148 * (1 + C148/30) * CHOOSE(D148-4,0.80,0.84,0.88,0.92,0.96,1.00),"")</f>
        <v/>
      </c>
    </row>
    <row r="149">
      <c r="A149" t="inlineStr">
        <is>
          <t>Belt Squat</t>
        </is>
      </c>
      <c r="B149" t="inlineStr"/>
      <c r="C149" t="inlineStr"/>
      <c r="D149" t="n">
        <v>8</v>
      </c>
      <c r="E149">
        <f>IF(AND(B149&gt;0,C149&gt;0), B149 * (1 + C149/30) * CHOOSE(D149-4,0.80,0.84,0.88,0.92,0.96,1.00),"")</f>
        <v/>
      </c>
    </row>
    <row r="150">
      <c r="A150" t="inlineStr">
        <is>
          <t>Belt Squat</t>
        </is>
      </c>
      <c r="B150" t="inlineStr"/>
      <c r="C150" t="inlineStr"/>
      <c r="D150" t="n">
        <v>9</v>
      </c>
      <c r="E150">
        <f>IF(AND(B150&gt;0,C150&gt;0), B150 * (1 + C150/30) * CHOOSE(D150-4,0.80,0.84,0.88,0.92,0.96,1.00),"")</f>
        <v/>
      </c>
    </row>
    <row r="151">
      <c r="A151" t="inlineStr">
        <is>
          <t>Belt Squat</t>
        </is>
      </c>
      <c r="B151" t="inlineStr"/>
      <c r="C151" t="inlineStr"/>
      <c r="D151" t="n">
        <v>10</v>
      </c>
      <c r="E151">
        <f>IF(AND(B151&gt;0,C151&gt;0), B151 * (1 + C151/30) * CHOOSE(D151-4,0.80,0.84,0.88,0.92,0.96,1.00),"")</f>
        <v/>
      </c>
    </row>
    <row r="152">
      <c r="A152" t="inlineStr">
        <is>
          <t>Romanian Deadlift</t>
        </is>
      </c>
      <c r="B152" t="inlineStr"/>
      <c r="C152" t="inlineStr"/>
      <c r="D152" t="n">
        <v>5</v>
      </c>
      <c r="E152">
        <f>IF(AND(B152&gt;0,C152&gt;0), B152 * (1 + C152/30) * CHOOSE(D152-4,0.80,0.84,0.88,0.92,0.96,1.00),"")</f>
        <v/>
      </c>
    </row>
    <row r="153">
      <c r="A153" t="inlineStr">
        <is>
          <t>Romanian Deadlift</t>
        </is>
      </c>
      <c r="B153" t="inlineStr"/>
      <c r="C153" t="inlineStr"/>
      <c r="D153" t="n">
        <v>6</v>
      </c>
      <c r="E153">
        <f>IF(AND(B153&gt;0,C153&gt;0), B153 * (1 + C153/30) * CHOOSE(D153-4,0.80,0.84,0.88,0.92,0.96,1.00),"")</f>
        <v/>
      </c>
    </row>
    <row r="154">
      <c r="A154" t="inlineStr">
        <is>
          <t>Romanian Deadlift</t>
        </is>
      </c>
      <c r="B154" t="inlineStr"/>
      <c r="C154" t="inlineStr"/>
      <c r="D154" t="n">
        <v>7</v>
      </c>
      <c r="E154">
        <f>IF(AND(B154&gt;0,C154&gt;0), B154 * (1 + C154/30) * CHOOSE(D154-4,0.80,0.84,0.88,0.92,0.96,1.00),"")</f>
        <v/>
      </c>
    </row>
    <row r="155">
      <c r="A155" t="inlineStr">
        <is>
          <t>Romanian Deadlift</t>
        </is>
      </c>
      <c r="B155" t="inlineStr"/>
      <c r="C155" t="inlineStr"/>
      <c r="D155" t="n">
        <v>8</v>
      </c>
      <c r="E155">
        <f>IF(AND(B155&gt;0,C155&gt;0), B155 * (1 + C155/30) * CHOOSE(D155-4,0.80,0.84,0.88,0.92,0.96,1.00),"")</f>
        <v/>
      </c>
    </row>
    <row r="156">
      <c r="A156" t="inlineStr">
        <is>
          <t>Romanian Deadlift</t>
        </is>
      </c>
      <c r="B156" t="inlineStr"/>
      <c r="C156" t="inlineStr"/>
      <c r="D156" t="n">
        <v>9</v>
      </c>
      <c r="E156">
        <f>IF(AND(B156&gt;0,C156&gt;0), B156 * (1 + C156/30) * CHOOSE(D156-4,0.80,0.84,0.88,0.92,0.96,1.00),"")</f>
        <v/>
      </c>
    </row>
    <row r="157">
      <c r="A157" t="inlineStr">
        <is>
          <t>Romanian Deadlift</t>
        </is>
      </c>
      <c r="B157" t="inlineStr"/>
      <c r="C157" t="inlineStr"/>
      <c r="D157" t="n">
        <v>10</v>
      </c>
      <c r="E157">
        <f>IF(AND(B157&gt;0,C157&gt;0), B157 * (1 + C157/30) * CHOOSE(D157-4,0.80,0.84,0.88,0.92,0.96,1.00),"")</f>
        <v/>
      </c>
    </row>
    <row r="158">
      <c r="A158" t="inlineStr">
        <is>
          <t>Hip Thrust</t>
        </is>
      </c>
      <c r="B158" t="inlineStr"/>
      <c r="C158" t="inlineStr"/>
      <c r="D158" t="n">
        <v>5</v>
      </c>
      <c r="E158">
        <f>IF(AND(B158&gt;0,C158&gt;0), B158 * (1 + C158/30) * CHOOSE(D158-4,0.80,0.84,0.88,0.92,0.96,1.00),"")</f>
        <v/>
      </c>
    </row>
    <row r="159">
      <c r="A159" t="inlineStr">
        <is>
          <t>Hip Thrust</t>
        </is>
      </c>
      <c r="B159" t="inlineStr"/>
      <c r="C159" t="inlineStr"/>
      <c r="D159" t="n">
        <v>6</v>
      </c>
      <c r="E159">
        <f>IF(AND(B159&gt;0,C159&gt;0), B159 * (1 + C159/30) * CHOOSE(D159-4,0.80,0.84,0.88,0.92,0.96,1.00),"")</f>
        <v/>
      </c>
    </row>
    <row r="160">
      <c r="A160" t="inlineStr">
        <is>
          <t>Hip Thrust</t>
        </is>
      </c>
      <c r="B160" t="inlineStr"/>
      <c r="C160" t="inlineStr"/>
      <c r="D160" t="n">
        <v>7</v>
      </c>
      <c r="E160">
        <f>IF(AND(B160&gt;0,C160&gt;0), B160 * (1 + C160/30) * CHOOSE(D160-4,0.80,0.84,0.88,0.92,0.96,1.00),"")</f>
        <v/>
      </c>
    </row>
    <row r="161">
      <c r="A161" t="inlineStr">
        <is>
          <t>Hip Thrust</t>
        </is>
      </c>
      <c r="B161" t="inlineStr"/>
      <c r="C161" t="inlineStr"/>
      <c r="D161" t="n">
        <v>8</v>
      </c>
      <c r="E161">
        <f>IF(AND(B161&gt;0,C161&gt;0), B161 * (1 + C161/30) * CHOOSE(D161-4,0.80,0.84,0.88,0.92,0.96,1.00),"")</f>
        <v/>
      </c>
    </row>
    <row r="162">
      <c r="A162" t="inlineStr">
        <is>
          <t>Hip Thrust</t>
        </is>
      </c>
      <c r="B162" t="inlineStr"/>
      <c r="C162" t="inlineStr"/>
      <c r="D162" t="n">
        <v>9</v>
      </c>
      <c r="E162">
        <f>IF(AND(B162&gt;0,C162&gt;0), B162 * (1 + C162/30) * CHOOSE(D162-4,0.80,0.84,0.88,0.92,0.96,1.00),"")</f>
        <v/>
      </c>
    </row>
    <row r="163">
      <c r="A163" t="inlineStr">
        <is>
          <t>Hip Thrust</t>
        </is>
      </c>
      <c r="B163" t="inlineStr"/>
      <c r="C163" t="inlineStr"/>
      <c r="D163" t="n">
        <v>10</v>
      </c>
      <c r="E163">
        <f>IF(AND(B163&gt;0,C163&gt;0), B163 * (1 + C163/30) * CHOOSE(D163-4,0.80,0.84,0.88,0.92,0.96,1.00),"")</f>
        <v/>
      </c>
    </row>
    <row r="164">
      <c r="A164" t="inlineStr">
        <is>
          <t>Kickback</t>
        </is>
      </c>
      <c r="B164" t="inlineStr"/>
      <c r="C164" t="inlineStr"/>
      <c r="D164" t="n">
        <v>5</v>
      </c>
      <c r="E164">
        <f>IF(AND(B164&gt;0,C164&gt;0), B164 * (1 + C164/30) * CHOOSE(D164-4,0.80,0.84,0.88,0.92,0.96,1.00),"")</f>
        <v/>
      </c>
    </row>
    <row r="165">
      <c r="A165" t="inlineStr">
        <is>
          <t>Kickback</t>
        </is>
      </c>
      <c r="B165" t="inlineStr"/>
      <c r="C165" t="inlineStr"/>
      <c r="D165" t="n">
        <v>6</v>
      </c>
      <c r="E165">
        <f>IF(AND(B165&gt;0,C165&gt;0), B165 * (1 + C165/30) * CHOOSE(D165-4,0.80,0.84,0.88,0.92,0.96,1.00),"")</f>
        <v/>
      </c>
    </row>
    <row r="166">
      <c r="A166" t="inlineStr">
        <is>
          <t>Kickback</t>
        </is>
      </c>
      <c r="B166" t="inlineStr"/>
      <c r="C166" t="inlineStr"/>
      <c r="D166" t="n">
        <v>7</v>
      </c>
      <c r="E166">
        <f>IF(AND(B166&gt;0,C166&gt;0), B166 * (1 + C166/30) * CHOOSE(D166-4,0.80,0.84,0.88,0.92,0.96,1.00),"")</f>
        <v/>
      </c>
    </row>
    <row r="167">
      <c r="A167" t="inlineStr">
        <is>
          <t>Kickback</t>
        </is>
      </c>
      <c r="B167" t="inlineStr"/>
      <c r="C167" t="inlineStr"/>
      <c r="D167" t="n">
        <v>8</v>
      </c>
      <c r="E167">
        <f>IF(AND(B167&gt;0,C167&gt;0), B167 * (1 + C167/30) * CHOOSE(D167-4,0.80,0.84,0.88,0.92,0.96,1.00),"")</f>
        <v/>
      </c>
    </row>
    <row r="168">
      <c r="A168" t="inlineStr">
        <is>
          <t>Kickback</t>
        </is>
      </c>
      <c r="B168" t="inlineStr"/>
      <c r="C168" t="inlineStr"/>
      <c r="D168" t="n">
        <v>9</v>
      </c>
      <c r="E168">
        <f>IF(AND(B168&gt;0,C168&gt;0), B168 * (1 + C168/30) * CHOOSE(D168-4,0.80,0.84,0.88,0.92,0.96,1.00),"")</f>
        <v/>
      </c>
    </row>
    <row r="169">
      <c r="A169" t="inlineStr">
        <is>
          <t>Kickback</t>
        </is>
      </c>
      <c r="B169" t="inlineStr"/>
      <c r="C169" t="inlineStr"/>
      <c r="D169" t="n">
        <v>10</v>
      </c>
      <c r="E169">
        <f>IF(AND(B169&gt;0,C169&gt;0), B169 * (1 + C169/30) * CHOOSE(D169-4,0.80,0.84,0.88,0.92,0.96,1.00),"")</f>
        <v/>
      </c>
    </row>
    <row r="170">
      <c r="A170" t="inlineStr">
        <is>
          <t>Abduction</t>
        </is>
      </c>
      <c r="B170" t="inlineStr"/>
      <c r="C170" t="inlineStr"/>
      <c r="D170" t="n">
        <v>5</v>
      </c>
      <c r="E170">
        <f>IF(AND(B170&gt;0,C170&gt;0), B170 * (1 + C170/30) * CHOOSE(D170-4,0.80,0.84,0.88,0.92,0.96,1.00),"")</f>
        <v/>
      </c>
    </row>
    <row r="171">
      <c r="A171" t="inlineStr">
        <is>
          <t>Abduction</t>
        </is>
      </c>
      <c r="B171" t="inlineStr"/>
      <c r="C171" t="inlineStr"/>
      <c r="D171" t="n">
        <v>6</v>
      </c>
      <c r="E171">
        <f>IF(AND(B171&gt;0,C171&gt;0), B171 * (1 + C171/30) * CHOOSE(D171-4,0.80,0.84,0.88,0.92,0.96,1.00),"")</f>
        <v/>
      </c>
    </row>
    <row r="172">
      <c r="A172" t="inlineStr">
        <is>
          <t>Abduction</t>
        </is>
      </c>
      <c r="B172" t="inlineStr"/>
      <c r="C172" t="inlineStr"/>
      <c r="D172" t="n">
        <v>7</v>
      </c>
      <c r="E172">
        <f>IF(AND(B172&gt;0,C172&gt;0), B172 * (1 + C172/30) * CHOOSE(D172-4,0.80,0.84,0.88,0.92,0.96,1.00),"")</f>
        <v/>
      </c>
    </row>
    <row r="173">
      <c r="A173" t="inlineStr">
        <is>
          <t>Abduction</t>
        </is>
      </c>
      <c r="B173" t="inlineStr"/>
      <c r="C173" t="inlineStr"/>
      <c r="D173" t="n">
        <v>8</v>
      </c>
      <c r="E173">
        <f>IF(AND(B173&gt;0,C173&gt;0), B173 * (1 + C173/30) * CHOOSE(D173-4,0.80,0.84,0.88,0.92,0.96,1.00),"")</f>
        <v/>
      </c>
    </row>
    <row r="174">
      <c r="A174" t="inlineStr">
        <is>
          <t>Abduction</t>
        </is>
      </c>
      <c r="B174" t="inlineStr"/>
      <c r="C174" t="inlineStr"/>
      <c r="D174" t="n">
        <v>9</v>
      </c>
      <c r="E174">
        <f>IF(AND(B174&gt;0,C174&gt;0), B174 * (1 + C174/30) * CHOOSE(D174-4,0.80,0.84,0.88,0.92,0.96,1.00),"")</f>
        <v/>
      </c>
    </row>
    <row r="175">
      <c r="A175" t="inlineStr">
        <is>
          <t>Abduction</t>
        </is>
      </c>
      <c r="B175" t="inlineStr"/>
      <c r="C175" t="inlineStr"/>
      <c r="D175" t="n">
        <v>10</v>
      </c>
      <c r="E175">
        <f>IF(AND(B175&gt;0,C175&gt;0), B175 * (1 + C175/30) * CHOOSE(D175-4,0.80,0.84,0.88,0.92,0.96,1.00),"")</f>
        <v/>
      </c>
    </row>
    <row r="176">
      <c r="A176" t="inlineStr">
        <is>
          <t>Box Jump</t>
        </is>
      </c>
      <c r="B176" t="inlineStr"/>
      <c r="C176" t="inlineStr"/>
      <c r="D176" t="n">
        <v>5</v>
      </c>
      <c r="E176">
        <f>IF(AND(B176&gt;0,C176&gt;0), B176 * (1 + C176/30) * CHOOSE(D176-4,0.80,0.84,0.88,0.92,0.96,1.00),"")</f>
        <v/>
      </c>
    </row>
    <row r="177">
      <c r="A177" t="inlineStr">
        <is>
          <t>Box Jump</t>
        </is>
      </c>
      <c r="B177" t="inlineStr"/>
      <c r="C177" t="inlineStr"/>
      <c r="D177" t="n">
        <v>6</v>
      </c>
      <c r="E177">
        <f>IF(AND(B177&gt;0,C177&gt;0), B177 * (1 + C177/30) * CHOOSE(D177-4,0.80,0.84,0.88,0.92,0.96,1.00),"")</f>
        <v/>
      </c>
    </row>
    <row r="178">
      <c r="A178" t="inlineStr">
        <is>
          <t>Box Jump</t>
        </is>
      </c>
      <c r="B178" t="inlineStr"/>
      <c r="C178" t="inlineStr"/>
      <c r="D178" t="n">
        <v>7</v>
      </c>
      <c r="E178">
        <f>IF(AND(B178&gt;0,C178&gt;0), B178 * (1 + C178/30) * CHOOSE(D178-4,0.80,0.84,0.88,0.92,0.96,1.00),"")</f>
        <v/>
      </c>
    </row>
    <row r="179">
      <c r="A179" t="inlineStr">
        <is>
          <t>Box Jump</t>
        </is>
      </c>
      <c r="B179" t="inlineStr"/>
      <c r="C179" t="inlineStr"/>
      <c r="D179" t="n">
        <v>8</v>
      </c>
      <c r="E179">
        <f>IF(AND(B179&gt;0,C179&gt;0), B179 * (1 + C179/30) * CHOOSE(D179-4,0.80,0.84,0.88,0.92,0.96,1.00),"")</f>
        <v/>
      </c>
    </row>
    <row r="180">
      <c r="A180" t="inlineStr">
        <is>
          <t>Box Jump</t>
        </is>
      </c>
      <c r="B180" t="inlineStr"/>
      <c r="C180" t="inlineStr"/>
      <c r="D180" t="n">
        <v>9</v>
      </c>
      <c r="E180">
        <f>IF(AND(B180&gt;0,C180&gt;0), B180 * (1 + C180/30) * CHOOSE(D180-4,0.80,0.84,0.88,0.92,0.96,1.00),"")</f>
        <v/>
      </c>
    </row>
    <row r="181">
      <c r="A181" t="inlineStr">
        <is>
          <t>Box Jump</t>
        </is>
      </c>
      <c r="B181" t="inlineStr"/>
      <c r="C181" t="inlineStr"/>
      <c r="D181" t="n">
        <v>10</v>
      </c>
      <c r="E181">
        <f>IF(AND(B181&gt;0,C181&gt;0), B181 * (1 + C181/30) * CHOOSE(D181-4,0.80,0.84,0.88,0.92,0.96,1.00),"")</f>
        <v/>
      </c>
    </row>
    <row r="182">
      <c r="A182" t="inlineStr">
        <is>
          <t>Pistol Squat</t>
        </is>
      </c>
      <c r="B182" t="inlineStr"/>
      <c r="C182" t="inlineStr"/>
      <c r="D182" t="n">
        <v>5</v>
      </c>
      <c r="E182">
        <f>IF(AND(B182&gt;0,C182&gt;0), B182 * (1 + C182/30) * CHOOSE(D182-4,0.80,0.84,0.88,0.92,0.96,1.00),"")</f>
        <v/>
      </c>
    </row>
    <row r="183">
      <c r="A183" t="inlineStr">
        <is>
          <t>Pistol Squat</t>
        </is>
      </c>
      <c r="B183" t="inlineStr"/>
      <c r="C183" t="inlineStr"/>
      <c r="D183" t="n">
        <v>6</v>
      </c>
      <c r="E183">
        <f>IF(AND(B183&gt;0,C183&gt;0), B183 * (1 + C183/30) * CHOOSE(D183-4,0.80,0.84,0.88,0.92,0.96,1.00),"")</f>
        <v/>
      </c>
    </row>
    <row r="184">
      <c r="A184" t="inlineStr">
        <is>
          <t>Pistol Squat</t>
        </is>
      </c>
      <c r="B184" t="inlineStr"/>
      <c r="C184" t="inlineStr"/>
      <c r="D184" t="n">
        <v>7</v>
      </c>
      <c r="E184">
        <f>IF(AND(B184&gt;0,C184&gt;0), B184 * (1 + C184/30) * CHOOSE(D184-4,0.80,0.84,0.88,0.92,0.96,1.00),"")</f>
        <v/>
      </c>
    </row>
    <row r="185">
      <c r="A185" t="inlineStr">
        <is>
          <t>Pistol Squat</t>
        </is>
      </c>
      <c r="B185" t="inlineStr"/>
      <c r="C185" t="inlineStr"/>
      <c r="D185" t="n">
        <v>8</v>
      </c>
      <c r="E185">
        <f>IF(AND(B185&gt;0,C185&gt;0), B185 * (1 + C185/30) * CHOOSE(D185-4,0.80,0.84,0.88,0.92,0.96,1.00),"")</f>
        <v/>
      </c>
    </row>
    <row r="186">
      <c r="A186" t="inlineStr">
        <is>
          <t>Pistol Squat</t>
        </is>
      </c>
      <c r="B186" t="inlineStr"/>
      <c r="C186" t="inlineStr"/>
      <c r="D186" t="n">
        <v>9</v>
      </c>
      <c r="E186">
        <f>IF(AND(B186&gt;0,C186&gt;0), B186 * (1 + C186/30) * CHOOSE(D186-4,0.80,0.84,0.88,0.92,0.96,1.00),"")</f>
        <v/>
      </c>
    </row>
    <row r="187">
      <c r="A187" t="inlineStr">
        <is>
          <t>Pistol Squat</t>
        </is>
      </c>
      <c r="B187" t="inlineStr"/>
      <c r="C187" t="inlineStr"/>
      <c r="D187" t="n">
        <v>10</v>
      </c>
      <c r="E187">
        <f>IF(AND(B187&gt;0,C187&gt;0), B187 * (1 + C187/30) * CHOOSE(D187-4,0.80,0.84,0.88,0.92,0.96,1.00),"")</f>
        <v/>
      </c>
    </row>
    <row r="188">
      <c r="A188" t="inlineStr">
        <is>
          <t>Farmer Walk</t>
        </is>
      </c>
      <c r="B188" t="inlineStr"/>
      <c r="C188" t="inlineStr"/>
      <c r="D188" t="n">
        <v>5</v>
      </c>
      <c r="E188">
        <f>IF(AND(B188&gt;0,C188&gt;0), B188 * (1 + C188/30) * CHOOSE(D188-4,0.80,0.84,0.88,0.92,0.96,1.00),"")</f>
        <v/>
      </c>
    </row>
    <row r="189">
      <c r="A189" t="inlineStr">
        <is>
          <t>Farmer Walk</t>
        </is>
      </c>
      <c r="B189" t="inlineStr"/>
      <c r="C189" t="inlineStr"/>
      <c r="D189" t="n">
        <v>6</v>
      </c>
      <c r="E189">
        <f>IF(AND(B189&gt;0,C189&gt;0), B189 * (1 + C189/30) * CHOOSE(D189-4,0.80,0.84,0.88,0.92,0.96,1.00),"")</f>
        <v/>
      </c>
    </row>
    <row r="190">
      <c r="A190" t="inlineStr">
        <is>
          <t>Farmer Walk</t>
        </is>
      </c>
      <c r="B190" t="inlineStr"/>
      <c r="C190" t="inlineStr"/>
      <c r="D190" t="n">
        <v>7</v>
      </c>
      <c r="E190">
        <f>IF(AND(B190&gt;0,C190&gt;0), B190 * (1 + C190/30) * CHOOSE(D190-4,0.80,0.84,0.88,0.92,0.96,1.00),"")</f>
        <v/>
      </c>
    </row>
    <row r="191">
      <c r="A191" t="inlineStr">
        <is>
          <t>Farmer Walk</t>
        </is>
      </c>
      <c r="B191" t="inlineStr"/>
      <c r="C191" t="inlineStr"/>
      <c r="D191" t="n">
        <v>8</v>
      </c>
      <c r="E191">
        <f>IF(AND(B191&gt;0,C191&gt;0), B191 * (1 + C191/30) * CHOOSE(D191-4,0.80,0.84,0.88,0.92,0.96,1.00),"")</f>
        <v/>
      </c>
    </row>
    <row r="192">
      <c r="A192" t="inlineStr">
        <is>
          <t>Farmer Walk</t>
        </is>
      </c>
      <c r="B192" t="inlineStr"/>
      <c r="C192" t="inlineStr"/>
      <c r="D192" t="n">
        <v>9</v>
      </c>
      <c r="E192">
        <f>IF(AND(B192&gt;0,C192&gt;0), B192 * (1 + C192/30) * CHOOSE(D192-4,0.80,0.84,0.88,0.92,0.96,1.00),"")</f>
        <v/>
      </c>
    </row>
    <row r="193">
      <c r="A193" t="inlineStr">
        <is>
          <t>Farmer Walk</t>
        </is>
      </c>
      <c r="B193" t="inlineStr"/>
      <c r="C193" t="inlineStr"/>
      <c r="D193" t="n">
        <v>10</v>
      </c>
      <c r="E193">
        <f>IF(AND(B193&gt;0,C193&gt;0), B193 * (1 + C193/30) * CHOOSE(D193-4,0.80,0.84,0.88,0.92,0.96,1.00),"")</f>
        <v/>
      </c>
    </row>
    <row r="194">
      <c r="A194" t="inlineStr">
        <is>
          <t>Burpees</t>
        </is>
      </c>
      <c r="B194" t="inlineStr"/>
      <c r="C194" t="inlineStr"/>
      <c r="D194" t="n">
        <v>5</v>
      </c>
      <c r="E194">
        <f>IF(AND(B194&gt;0,C194&gt;0), B194 * (1 + C194/30) * CHOOSE(D194-4,0.80,0.84,0.88,0.92,0.96,1.00),"")</f>
        <v/>
      </c>
    </row>
    <row r="195">
      <c r="A195" t="inlineStr">
        <is>
          <t>Burpees</t>
        </is>
      </c>
      <c r="B195" t="inlineStr"/>
      <c r="C195" t="inlineStr"/>
      <c r="D195" t="n">
        <v>6</v>
      </c>
      <c r="E195">
        <f>IF(AND(B195&gt;0,C195&gt;0), B195 * (1 + C195/30) * CHOOSE(D195-4,0.80,0.84,0.88,0.92,0.96,1.00),"")</f>
        <v/>
      </c>
    </row>
    <row r="196">
      <c r="A196" t="inlineStr">
        <is>
          <t>Burpees</t>
        </is>
      </c>
      <c r="B196" t="inlineStr"/>
      <c r="C196" t="inlineStr"/>
      <c r="D196" t="n">
        <v>7</v>
      </c>
      <c r="E196">
        <f>IF(AND(B196&gt;0,C196&gt;0), B196 * (1 + C196/30) * CHOOSE(D196-4,0.80,0.84,0.88,0.92,0.96,1.00),"")</f>
        <v/>
      </c>
    </row>
    <row r="197">
      <c r="A197" t="inlineStr">
        <is>
          <t>Burpees</t>
        </is>
      </c>
      <c r="B197" t="inlineStr"/>
      <c r="C197" t="inlineStr"/>
      <c r="D197" t="n">
        <v>8</v>
      </c>
      <c r="E197">
        <f>IF(AND(B197&gt;0,C197&gt;0), B197 * (1 + C197/30) * CHOOSE(D197-4,0.80,0.84,0.88,0.92,0.96,1.00),"")</f>
        <v/>
      </c>
    </row>
    <row r="198">
      <c r="A198" t="inlineStr">
        <is>
          <t>Burpees</t>
        </is>
      </c>
      <c r="B198" t="inlineStr"/>
      <c r="C198" t="inlineStr"/>
      <c r="D198" t="n">
        <v>9</v>
      </c>
      <c r="E198">
        <f>IF(AND(B198&gt;0,C198&gt;0), B198 * (1 + C198/30) * CHOOSE(D198-4,0.80,0.84,0.88,0.92,0.96,1.00),"")</f>
        <v/>
      </c>
    </row>
    <row r="199">
      <c r="A199" t="inlineStr">
        <is>
          <t>Burpees</t>
        </is>
      </c>
      <c r="B199" t="inlineStr"/>
      <c r="C199" t="inlineStr"/>
      <c r="D199" t="n">
        <v>10</v>
      </c>
      <c r="E199">
        <f>IF(AND(B199&gt;0,C199&gt;0), B199 * (1 + C199/30) * CHOOSE(D199-4,0.80,0.84,0.88,0.92,0.96,1.00),"")</f>
        <v/>
      </c>
    </row>
    <row r="200">
      <c r="A200" t="inlineStr">
        <is>
          <t>HSPU</t>
        </is>
      </c>
      <c r="B200" t="inlineStr"/>
      <c r="C200" t="inlineStr"/>
      <c r="D200" t="n">
        <v>5</v>
      </c>
      <c r="E200">
        <f>IF(AND(B200&gt;0,C200&gt;0), B200 * (1 + C200/30) * CHOOSE(D200-4,0.80,0.84,0.88,0.92,0.96,1.00),"")</f>
        <v/>
      </c>
    </row>
    <row r="201">
      <c r="A201" t="inlineStr">
        <is>
          <t>HSPU</t>
        </is>
      </c>
      <c r="B201" t="inlineStr"/>
      <c r="C201" t="inlineStr"/>
      <c r="D201" t="n">
        <v>6</v>
      </c>
      <c r="E201">
        <f>IF(AND(B201&gt;0,C201&gt;0), B201 * (1 + C201/30) * CHOOSE(D201-4,0.80,0.84,0.88,0.92,0.96,1.00),"")</f>
        <v/>
      </c>
    </row>
    <row r="202">
      <c r="A202" t="inlineStr">
        <is>
          <t>HSPU</t>
        </is>
      </c>
      <c r="B202" t="inlineStr"/>
      <c r="C202" t="inlineStr"/>
      <c r="D202" t="n">
        <v>7</v>
      </c>
      <c r="E202">
        <f>IF(AND(B202&gt;0,C202&gt;0), B202 * (1 + C202/30) * CHOOSE(D202-4,0.80,0.84,0.88,0.92,0.96,1.00),"")</f>
        <v/>
      </c>
    </row>
    <row r="203">
      <c r="A203" t="inlineStr">
        <is>
          <t>HSPU</t>
        </is>
      </c>
      <c r="B203" t="inlineStr"/>
      <c r="C203" t="inlineStr"/>
      <c r="D203" t="n">
        <v>8</v>
      </c>
      <c r="E203">
        <f>IF(AND(B203&gt;0,C203&gt;0), B203 * (1 + C203/30) * CHOOSE(D203-4,0.80,0.84,0.88,0.92,0.96,1.00),"")</f>
        <v/>
      </c>
    </row>
    <row r="204">
      <c r="A204" t="inlineStr">
        <is>
          <t>HSPU</t>
        </is>
      </c>
      <c r="B204" t="inlineStr"/>
      <c r="C204" t="inlineStr"/>
      <c r="D204" t="n">
        <v>9</v>
      </c>
      <c r="E204">
        <f>IF(AND(B204&gt;0,C204&gt;0), B204 * (1 + C204/30) * CHOOSE(D204-4,0.80,0.84,0.88,0.92,0.96,1.00),"")</f>
        <v/>
      </c>
    </row>
    <row r="205">
      <c r="A205" t="inlineStr">
        <is>
          <t>HSPU</t>
        </is>
      </c>
      <c r="B205" t="inlineStr"/>
      <c r="C205" t="inlineStr"/>
      <c r="D205" t="n">
        <v>10</v>
      </c>
      <c r="E205">
        <f>IF(AND(B205&gt;0,C205&gt;0), B205 * (1 + C205/30) * CHOOSE(D205-4,0.80,0.84,0.88,0.92,0.96,1.00),"")</f>
        <v/>
      </c>
    </row>
    <row r="206">
      <c r="A206" t="inlineStr">
        <is>
          <t>MU</t>
        </is>
      </c>
      <c r="B206" t="inlineStr"/>
      <c r="C206" t="inlineStr"/>
      <c r="D206" t="n">
        <v>5</v>
      </c>
      <c r="E206">
        <f>IF(AND(B206&gt;0,C206&gt;0), B206 * (1 + C206/30) * CHOOSE(D206-4,0.80,0.84,0.88,0.92,0.96,1.00),"")</f>
        <v/>
      </c>
    </row>
    <row r="207">
      <c r="A207" t="inlineStr">
        <is>
          <t>MU</t>
        </is>
      </c>
      <c r="B207" t="inlineStr"/>
      <c r="C207" t="inlineStr"/>
      <c r="D207" t="n">
        <v>6</v>
      </c>
      <c r="E207">
        <f>IF(AND(B207&gt;0,C207&gt;0), B207 * (1 + C207/30) * CHOOSE(D207-4,0.80,0.84,0.88,0.92,0.96,1.00),"")</f>
        <v/>
      </c>
    </row>
    <row r="208">
      <c r="A208" t="inlineStr">
        <is>
          <t>MU</t>
        </is>
      </c>
      <c r="B208" t="inlineStr"/>
      <c r="C208" t="inlineStr"/>
      <c r="D208" t="n">
        <v>7</v>
      </c>
      <c r="E208">
        <f>IF(AND(B208&gt;0,C208&gt;0), B208 * (1 + C208/30) * CHOOSE(D208-4,0.80,0.84,0.88,0.92,0.96,1.00),"")</f>
        <v/>
      </c>
    </row>
    <row r="209">
      <c r="A209" t="inlineStr">
        <is>
          <t>MU</t>
        </is>
      </c>
      <c r="B209" t="inlineStr"/>
      <c r="C209" t="inlineStr"/>
      <c r="D209" t="n">
        <v>8</v>
      </c>
      <c r="E209">
        <f>IF(AND(B209&gt;0,C209&gt;0), B209 * (1 + C209/30) * CHOOSE(D209-4,0.80,0.84,0.88,0.92,0.96,1.00),"")</f>
        <v/>
      </c>
    </row>
    <row r="210">
      <c r="A210" t="inlineStr">
        <is>
          <t>MU</t>
        </is>
      </c>
      <c r="B210" t="inlineStr"/>
      <c r="C210" t="inlineStr"/>
      <c r="D210" t="n">
        <v>9</v>
      </c>
      <c r="E210">
        <f>IF(AND(B210&gt;0,C210&gt;0), B210 * (1 + C210/30) * CHOOSE(D210-4,0.80,0.84,0.88,0.92,0.96,1.00),"")</f>
        <v/>
      </c>
    </row>
    <row r="211">
      <c r="A211" t="inlineStr">
        <is>
          <t>MU</t>
        </is>
      </c>
      <c r="B211" t="inlineStr"/>
      <c r="C211" t="inlineStr"/>
      <c r="D211" t="n">
        <v>10</v>
      </c>
      <c r="E211">
        <f>IF(AND(B211&gt;0,C211&gt;0), B211 * (1 + C211/30) * CHOOSE(D211-4,0.80,0.84,0.88,0.92,0.96,1.00),"")</f>
        <v/>
      </c>
    </row>
    <row r="212">
      <c r="A212" t="inlineStr">
        <is>
          <t>Planche</t>
        </is>
      </c>
      <c r="B212" t="inlineStr"/>
      <c r="C212" t="inlineStr"/>
      <c r="D212" t="n">
        <v>5</v>
      </c>
      <c r="E212">
        <f>IF(AND(B212&gt;0,C212&gt;0), B212 * (1 + C212/30) * CHOOSE(D212-4,0.80,0.84,0.88,0.92,0.96,1.00),"")</f>
        <v/>
      </c>
    </row>
    <row r="213">
      <c r="A213" t="inlineStr">
        <is>
          <t>Planche</t>
        </is>
      </c>
      <c r="B213" t="inlineStr"/>
      <c r="C213" t="inlineStr"/>
      <c r="D213" t="n">
        <v>6</v>
      </c>
      <c r="E213">
        <f>IF(AND(B213&gt;0,C213&gt;0), B213 * (1 + C213/30) * CHOOSE(D213-4,0.80,0.84,0.88,0.92,0.96,1.00),"")</f>
        <v/>
      </c>
    </row>
    <row r="214">
      <c r="A214" t="inlineStr">
        <is>
          <t>Planche</t>
        </is>
      </c>
      <c r="B214" t="inlineStr"/>
      <c r="C214" t="inlineStr"/>
      <c r="D214" t="n">
        <v>7</v>
      </c>
      <c r="E214">
        <f>IF(AND(B214&gt;0,C214&gt;0), B214 * (1 + C214/30) * CHOOSE(D214-4,0.80,0.84,0.88,0.92,0.96,1.00),"")</f>
        <v/>
      </c>
    </row>
    <row r="215">
      <c r="A215" t="inlineStr">
        <is>
          <t>Planche</t>
        </is>
      </c>
      <c r="B215" t="inlineStr"/>
      <c r="C215" t="inlineStr"/>
      <c r="D215" t="n">
        <v>8</v>
      </c>
      <c r="E215">
        <f>IF(AND(B215&gt;0,C215&gt;0), B215 * (1 + C215/30) * CHOOSE(D215-4,0.80,0.84,0.88,0.92,0.96,1.00),"")</f>
        <v/>
      </c>
    </row>
    <row r="216">
      <c r="A216" t="inlineStr">
        <is>
          <t>Planche</t>
        </is>
      </c>
      <c r="B216" t="inlineStr"/>
      <c r="C216" t="inlineStr"/>
      <c r="D216" t="n">
        <v>9</v>
      </c>
      <c r="E216">
        <f>IF(AND(B216&gt;0,C216&gt;0), B216 * (1 + C216/30) * CHOOSE(D216-4,0.80,0.84,0.88,0.92,0.96,1.00),"")</f>
        <v/>
      </c>
    </row>
    <row r="217">
      <c r="A217" t="inlineStr">
        <is>
          <t>Planche</t>
        </is>
      </c>
      <c r="B217" t="inlineStr"/>
      <c r="C217" t="inlineStr"/>
      <c r="D217" t="n">
        <v>10</v>
      </c>
      <c r="E217">
        <f>IF(AND(B217&gt;0,C217&gt;0), B217 * (1 + C217/30) * CHOOSE(D217-4,0.80,0.84,0.88,0.92,0.96,1.00),"")</f>
        <v/>
      </c>
    </row>
    <row r="218">
      <c r="A218" t="inlineStr">
        <is>
          <t>Traction Lestée</t>
        </is>
      </c>
      <c r="B218" t="inlineStr"/>
      <c r="C218" t="inlineStr"/>
      <c r="D218" t="n">
        <v>5</v>
      </c>
      <c r="E218">
        <f>IF(AND(B218&gt;0,C218&gt;0), B218 * (1 + C218/30) * CHOOSE(D218-4,0.80,0.84,0.88,0.92,0.96,1.00),"")</f>
        <v/>
      </c>
    </row>
    <row r="219">
      <c r="A219" t="inlineStr">
        <is>
          <t>Traction Lestée</t>
        </is>
      </c>
      <c r="B219" t="inlineStr"/>
      <c r="C219" t="inlineStr"/>
      <c r="D219" t="n">
        <v>6</v>
      </c>
      <c r="E219">
        <f>IF(AND(B219&gt;0,C219&gt;0), B219 * (1 + C219/30) * CHOOSE(D219-4,0.80,0.84,0.88,0.92,0.96,1.00),"")</f>
        <v/>
      </c>
    </row>
    <row r="220">
      <c r="A220" t="inlineStr">
        <is>
          <t>Traction Lestée</t>
        </is>
      </c>
      <c r="B220" t="inlineStr"/>
      <c r="C220" t="inlineStr"/>
      <c r="D220" t="n">
        <v>7</v>
      </c>
      <c r="E220">
        <f>IF(AND(B220&gt;0,C220&gt;0), B220 * (1 + C220/30) * CHOOSE(D220-4,0.80,0.84,0.88,0.92,0.96,1.00),"")</f>
        <v/>
      </c>
    </row>
    <row r="221">
      <c r="A221" t="inlineStr">
        <is>
          <t>Traction Lestée</t>
        </is>
      </c>
      <c r="B221" t="inlineStr"/>
      <c r="C221" t="inlineStr"/>
      <c r="D221" t="n">
        <v>8</v>
      </c>
      <c r="E221">
        <f>IF(AND(B221&gt;0,C221&gt;0), B221 * (1 + C221/30) * CHOOSE(D221-4,0.80,0.84,0.88,0.92,0.96,1.00),"")</f>
        <v/>
      </c>
    </row>
    <row r="222">
      <c r="A222" t="inlineStr">
        <is>
          <t>Traction Lestée</t>
        </is>
      </c>
      <c r="B222" t="inlineStr"/>
      <c r="C222" t="inlineStr"/>
      <c r="D222" t="n">
        <v>9</v>
      </c>
      <c r="E222">
        <f>IF(AND(B222&gt;0,C222&gt;0), B222 * (1 + C222/30) * CHOOSE(D222-4,0.80,0.84,0.88,0.92,0.96,1.00),"")</f>
        <v/>
      </c>
    </row>
    <row r="223">
      <c r="A223" t="inlineStr">
        <is>
          <t>Traction Lestée</t>
        </is>
      </c>
      <c r="B223" t="inlineStr"/>
      <c r="C223" t="inlineStr"/>
      <c r="D223" t="n">
        <v>10</v>
      </c>
      <c r="E223">
        <f>IF(AND(B223&gt;0,C223&gt;0), B223 * (1 + C223/30) * CHOOSE(D223-4,0.80,0.84,0.88,0.92,0.96,1.00),"")</f>
        <v/>
      </c>
    </row>
    <row r="224">
      <c r="A224" t="inlineStr">
        <is>
          <t>Pompes Diamant</t>
        </is>
      </c>
      <c r="B224" t="inlineStr"/>
      <c r="C224" t="inlineStr"/>
      <c r="D224" t="n">
        <v>5</v>
      </c>
      <c r="E224">
        <f>IF(AND(B224&gt;0,C224&gt;0), B224 * (1 + C224/30) * CHOOSE(D224-4,0.80,0.84,0.88,0.92,0.96,1.00),"")</f>
        <v/>
      </c>
    </row>
    <row r="225">
      <c r="A225" t="inlineStr">
        <is>
          <t>Pompes Diamant</t>
        </is>
      </c>
      <c r="B225" t="inlineStr"/>
      <c r="C225" t="inlineStr"/>
      <c r="D225" t="n">
        <v>6</v>
      </c>
      <c r="E225">
        <f>IF(AND(B225&gt;0,C225&gt;0), B225 * (1 + C225/30) * CHOOSE(D225-4,0.80,0.84,0.88,0.92,0.96,1.00),"")</f>
        <v/>
      </c>
    </row>
    <row r="226">
      <c r="A226" t="inlineStr">
        <is>
          <t>Pompes Diamant</t>
        </is>
      </c>
      <c r="B226" t="inlineStr"/>
      <c r="C226" t="inlineStr"/>
      <c r="D226" t="n">
        <v>7</v>
      </c>
      <c r="E226">
        <f>IF(AND(B226&gt;0,C226&gt;0), B226 * (1 + C226/30) * CHOOSE(D226-4,0.80,0.84,0.88,0.92,0.96,1.00),"")</f>
        <v/>
      </c>
    </row>
    <row r="227">
      <c r="A227" t="inlineStr">
        <is>
          <t>Pompes Diamant</t>
        </is>
      </c>
      <c r="B227" t="inlineStr"/>
      <c r="C227" t="inlineStr"/>
      <c r="D227" t="n">
        <v>8</v>
      </c>
      <c r="E227">
        <f>IF(AND(B227&gt;0,C227&gt;0), B227 * (1 + C227/30) * CHOOSE(D227-4,0.80,0.84,0.88,0.92,0.96,1.00),"")</f>
        <v/>
      </c>
    </row>
    <row r="228">
      <c r="A228" t="inlineStr">
        <is>
          <t>Pompes Diamant</t>
        </is>
      </c>
      <c r="B228" t="inlineStr"/>
      <c r="C228" t="inlineStr"/>
      <c r="D228" t="n">
        <v>9</v>
      </c>
      <c r="E228">
        <f>IF(AND(B228&gt;0,C228&gt;0), B228 * (1 + C228/30) * CHOOSE(D228-4,0.80,0.84,0.88,0.92,0.96,1.00),"")</f>
        <v/>
      </c>
    </row>
    <row r="229">
      <c r="A229" t="inlineStr">
        <is>
          <t>Pompes Diamant</t>
        </is>
      </c>
      <c r="B229" t="inlineStr"/>
      <c r="C229" t="inlineStr"/>
      <c r="D229" t="n">
        <v>10</v>
      </c>
      <c r="E229">
        <f>IF(AND(B229&gt;0,C229&gt;0), B229 * (1 + C229/30) * CHOOSE(D229-4,0.80,0.84,0.88,0.92,0.96,1.00),"")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PR Value</t>
        </is>
      </c>
      <c r="C1" t="inlineStr">
        <is>
          <t>Type</t>
        </is>
      </c>
      <c r="D1" t="inlineStr">
        <is>
          <t>Notes</t>
        </is>
      </c>
    </row>
    <row r="2">
      <c r="A2" t="inlineStr">
        <is>
          <t>Squat (kg)</t>
        </is>
      </c>
      <c r="B2">
        <f>MAX('Données Force'!C2:C31)</f>
        <v/>
      </c>
      <c r="C2" t="inlineStr">
        <is>
          <t>Force</t>
        </is>
      </c>
      <c r="D2" t="inlineStr"/>
    </row>
    <row r="3">
      <c r="A3" t="inlineStr">
        <is>
          <t>Bench (kg)</t>
        </is>
      </c>
      <c r="B3">
        <f>MAX('Données Force'!H2:H31)</f>
        <v/>
      </c>
      <c r="C3" t="inlineStr">
        <is>
          <t>Force</t>
        </is>
      </c>
      <c r="D3" t="inlineStr"/>
    </row>
    <row r="4">
      <c r="A4" t="inlineStr">
        <is>
          <t>Deadlift (kg)</t>
        </is>
      </c>
      <c r="B4">
        <f>MAX('Données Force'!K2:K31)</f>
        <v/>
      </c>
      <c r="C4" t="inlineStr">
        <is>
          <t>Force</t>
        </is>
      </c>
      <c r="D4" t="inlineStr"/>
    </row>
    <row r="5">
      <c r="A5" t="inlineStr">
        <is>
          <t>Traction Lestée (kg)</t>
        </is>
      </c>
      <c r="B5">
        <f>MAX('Données Force'!R2:R31)</f>
        <v/>
      </c>
      <c r="C5" t="inlineStr">
        <is>
          <t>Force</t>
        </is>
      </c>
      <c r="D5" t="inlineStr"/>
    </row>
    <row r="6">
      <c r="A6" t="inlineStr">
        <is>
          <t>HSPU (reps)</t>
        </is>
      </c>
      <c r="B6">
        <f>MAX('Données Calisthénie'!B2:B31)</f>
        <v/>
      </c>
      <c r="C6" t="inlineStr">
        <is>
          <t>Calisthénie</t>
        </is>
      </c>
      <c r="D6" t="inlineStr"/>
    </row>
    <row r="7">
      <c r="A7" t="inlineStr">
        <is>
          <t>MU (reps)</t>
        </is>
      </c>
      <c r="B7">
        <f>MAX('Données Calisthénie'!C2:C31)</f>
        <v/>
      </c>
      <c r="C7" t="inlineStr">
        <is>
          <t>Calisthénie</t>
        </is>
      </c>
      <c r="D7" t="inlineStr"/>
    </row>
    <row r="8">
      <c r="A8" t="inlineStr">
        <is>
          <t>Planche (sec)</t>
        </is>
      </c>
      <c r="B8">
        <f>MAX('Données Calisthénie'!D2:D31)</f>
        <v/>
      </c>
      <c r="C8" t="inlineStr">
        <is>
          <t>Calisthénie</t>
        </is>
      </c>
      <c r="D8" t="inlineStr"/>
    </row>
    <row r="9">
      <c r="A9" t="inlineStr">
        <is>
          <t>Box Jump (cm)</t>
        </is>
      </c>
      <c r="B9">
        <f>MAX('Données Calisthénie'!F2:F31)</f>
        <v/>
      </c>
      <c r="C9" t="inlineStr">
        <is>
          <t>Calisthénie</t>
        </is>
      </c>
      <c r="D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Séance</t>
        </is>
      </c>
      <c r="B1" t="inlineStr">
        <is>
          <t>Exercice</t>
        </is>
      </c>
      <c r="C1" t="inlineStr">
        <is>
          <t>kg</t>
        </is>
      </c>
      <c r="D1" t="inlineStr">
        <is>
          <t>reps</t>
        </is>
      </c>
      <c r="E1" t="inlineStr">
        <is>
          <t>1RM Est (Epley)</t>
        </is>
      </c>
      <c r="F1" t="inlineStr">
        <is>
          <t>%1RM du jour</t>
        </is>
      </c>
      <c r="G1" t="inlineStr">
        <is>
          <t>RPE Théorique</t>
        </is>
      </c>
      <c r="H1" t="inlineStr">
        <is>
          <t>Objectif</t>
        </is>
      </c>
      <c r="I1" t="inlineStr">
        <is>
          <t>Target %1RM</t>
        </is>
      </c>
      <c r="J1" t="inlineStr">
        <is>
          <t>Charge Reco (kg)</t>
        </is>
      </c>
    </row>
    <row r="2">
      <c r="A2" t="n">
        <v>2</v>
      </c>
      <c r="B2" t="inlineStr">
        <is>
          <t>Squat</t>
        </is>
      </c>
      <c r="C2">
        <f>'Données Force'!C2</f>
        <v/>
      </c>
      <c r="D2">
        <f>'Données Force'!D2</f>
        <v/>
      </c>
      <c r="E2">
        <f>IF(AND('Données Force'!C2&gt;0,'Données Force'!D2&gt;0),'Données Force'!C2*(1+'Données Force'!D2/30),"")</f>
        <v/>
      </c>
      <c r="F2">
        <f>IFERROR(C2/E2,"")</f>
        <v/>
      </c>
      <c r="G2">
        <f>IF(F2="","",IF(F2&gt;=0.97,10,IF(F2&gt;=0.93,9,IF(F2&gt;=0.88,8,IF(F2&gt;=0.83,7,6)))))</f>
        <v/>
      </c>
      <c r="H2">
        <f>'Données Force'!B2</f>
        <v/>
      </c>
      <c r="I2">
        <f>IF(H2="","",IF(H2="Force",0.94,IF(H2="Power",0.65,IF(H2="Hypertrophy",0.80,IF(H2="Neural",0.90,0.80)))))</f>
        <v/>
      </c>
      <c r="J2">
        <f>IF(E2="","",ROUND(I2*E2,0))</f>
        <v/>
      </c>
    </row>
    <row r="3">
      <c r="A3" t="n">
        <v>2</v>
      </c>
      <c r="B3" t="inlineStr">
        <is>
          <t>Bench</t>
        </is>
      </c>
      <c r="C3">
        <f>'Données Force'!H2</f>
        <v/>
      </c>
      <c r="D3">
        <f>'Données Force'!I2</f>
        <v/>
      </c>
      <c r="E3">
        <f>IF(AND('Données Force'!H2&gt;0,'Données Force'!I2&gt;0),'Données Force'!H2*(1+'Données Force'!I2/30),"")</f>
        <v/>
      </c>
      <c r="F3">
        <f>IFERROR(C3/E3,"")</f>
        <v/>
      </c>
      <c r="G3">
        <f>IF(F3="","",IF(F3&gt;=0.97,10,IF(F3&gt;=0.93,9,IF(F3&gt;=0.88,8,IF(F3&gt;=0.83,7,6)))))</f>
        <v/>
      </c>
      <c r="H3">
        <f>'Données Force'!B2</f>
        <v/>
      </c>
      <c r="I3">
        <f>IF(H3="","",IF(H3="Force",0.94,IF(H3="Power",0.65,IF(H3="Hypertrophy",0.80,IF(H3="Neural",0.90,0.80)))))</f>
        <v/>
      </c>
      <c r="J3">
        <f>IF(E3="","",ROUND(I3*E3,0))</f>
        <v/>
      </c>
    </row>
    <row r="4">
      <c r="A4" t="n">
        <v>2</v>
      </c>
      <c r="B4" t="inlineStr">
        <is>
          <t>Deadlift</t>
        </is>
      </c>
      <c r="C4">
        <f>'Données Force'!K2</f>
        <v/>
      </c>
      <c r="D4">
        <f>'Données Force'!L2</f>
        <v/>
      </c>
      <c r="E4">
        <f>IF(AND('Données Force'!K2&gt;0,'Données Force'!L2&gt;0),'Données Force'!K2*(1+'Données Force'!L2/30),"")</f>
        <v/>
      </c>
      <c r="F4">
        <f>IFERROR(C4/E4,"")</f>
        <v/>
      </c>
      <c r="G4">
        <f>IF(F4="","",IF(F4&gt;=0.97,10,IF(F4&gt;=0.93,9,IF(F4&gt;=0.88,8,IF(F4&gt;=0.83,7,6)))))</f>
        <v/>
      </c>
      <c r="H4">
        <f>'Données Force'!B2</f>
        <v/>
      </c>
      <c r="I4">
        <f>IF(H4="","",IF(H4="Force",0.94,IF(H4="Power",0.65,IF(H4="Hypertrophy",0.80,IF(H4="Neural",0.90,0.80)))))</f>
        <v/>
      </c>
      <c r="J4">
        <f>IF(E4="","",ROUND(I4*E4,0))</f>
        <v/>
      </c>
    </row>
    <row r="5">
      <c r="A5" t="n">
        <v>2</v>
      </c>
      <c r="B5" t="inlineStr">
        <is>
          <t>Traction Lestée</t>
        </is>
      </c>
      <c r="C5">
        <f>'Données Force'!R2</f>
        <v/>
      </c>
      <c r="D5">
        <f>'Données Force'!S2</f>
        <v/>
      </c>
      <c r="E5">
        <f>IF(AND('Données Force'!R2&gt;0,'Données Force'!S2&gt;0),'Données Force'!R2*(1+'Données Force'!S2/30),"")</f>
        <v/>
      </c>
      <c r="F5">
        <f>IFERROR(C5/E5,"")</f>
        <v/>
      </c>
      <c r="G5">
        <f>IF(F5="","",IF(F5&gt;=0.97,10,IF(F5&gt;=0.93,9,IF(F5&gt;=0.88,8,IF(F5&gt;=0.83,7,6)))))</f>
        <v/>
      </c>
      <c r="H5">
        <f>'Données Force'!B2</f>
        <v/>
      </c>
      <c r="I5">
        <f>IF(H5="","",IF(H5="Force",0.94,IF(H5="Power",0.65,IF(H5="Hypertrophy",0.80,IF(H5="Neural",0.90,0.80)))))</f>
        <v/>
      </c>
      <c r="J5">
        <f>IF(E5="","",ROUND(I5*E5,0))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Séance</t>
        </is>
      </c>
      <c r="B1" t="inlineStr">
        <is>
          <t>Session Volume (kg·reps)</t>
        </is>
      </c>
      <c r="C1" t="inlineStr">
        <is>
          <t>Calisth. Volume</t>
        </is>
      </c>
      <c r="D1" t="inlineStr">
        <is>
          <t>Weekly Volume (7 séances)</t>
        </is>
      </c>
      <c r="E1" t="inlineStr">
        <is>
          <t>Monotony (SD 7 séances)</t>
        </is>
      </c>
      <c r="F1" t="inlineStr">
        <is>
          <t>Strain (Vol*Mono)</t>
        </is>
      </c>
      <c r="G1" t="inlineStr">
        <is>
          <t>Risk Level (Elite)</t>
        </is>
      </c>
    </row>
    <row r="2">
      <c r="A2" t="n">
        <v>1</v>
      </c>
      <c r="B2">
        <f>'Données Force'!T2</f>
        <v/>
      </c>
      <c r="C2">
        <f>'Données Calisthénie'!G2</f>
        <v/>
      </c>
      <c r="D2">
        <f>SUM('Données Force'!T2:'Données Force'!T2)</f>
        <v/>
      </c>
      <c r="E2">
        <f>IF(COUNT('Données Force'!T2:'Données Force'!T2)&gt;1,STDEV.P('Données Force'!T2:'Données Force'!T2),0)</f>
        <v/>
      </c>
      <c r="F2">
        <f>D2*E2</f>
        <v/>
      </c>
      <c r="G2">
        <f>IF(F2="","",IF(F2&gt;100000,"High",IF(F2&gt;40000,"Medium","Low")))</f>
        <v/>
      </c>
    </row>
    <row r="3">
      <c r="A3" t="n">
        <v>2</v>
      </c>
      <c r="B3">
        <f>'Données Force'!T3</f>
        <v/>
      </c>
      <c r="C3">
        <f>'Données Calisthénie'!G3</f>
        <v/>
      </c>
      <c r="D3">
        <f>SUM('Données Force'!T2:'Données Force'!T3)</f>
        <v/>
      </c>
      <c r="E3">
        <f>IF(COUNT('Données Force'!T2:'Données Force'!T3)&gt;1,STDEV.P('Données Force'!T2:'Données Force'!T3),0)</f>
        <v/>
      </c>
      <c r="F3">
        <f>D3*E3</f>
        <v/>
      </c>
      <c r="G3">
        <f>IF(F3="","",IF(F3&gt;100000,"High",IF(F3&gt;40000,"Medium","Low")))</f>
        <v/>
      </c>
    </row>
    <row r="4">
      <c r="A4" t="n">
        <v>3</v>
      </c>
      <c r="B4">
        <f>'Données Force'!T4</f>
        <v/>
      </c>
      <c r="C4">
        <f>'Données Calisthénie'!G4</f>
        <v/>
      </c>
      <c r="D4">
        <f>SUM('Données Force'!T2:'Données Force'!T4)</f>
        <v/>
      </c>
      <c r="E4">
        <f>IF(COUNT('Données Force'!T2:'Données Force'!T4)&gt;1,STDEV.P('Données Force'!T2:'Données Force'!T4),0)</f>
        <v/>
      </c>
      <c r="F4">
        <f>D4*E4</f>
        <v/>
      </c>
      <c r="G4">
        <f>IF(F4="","",IF(F4&gt;100000,"High",IF(F4&gt;40000,"Medium","Low")))</f>
        <v/>
      </c>
    </row>
    <row r="5">
      <c r="A5" t="n">
        <v>4</v>
      </c>
      <c r="B5">
        <f>'Données Force'!T5</f>
        <v/>
      </c>
      <c r="C5">
        <f>'Données Calisthénie'!G5</f>
        <v/>
      </c>
      <c r="D5">
        <f>SUM('Données Force'!T2:'Données Force'!T5)</f>
        <v/>
      </c>
      <c r="E5">
        <f>IF(COUNT('Données Force'!T2:'Données Force'!T5)&gt;1,STDEV.P('Données Force'!T2:'Données Force'!T5),0)</f>
        <v/>
      </c>
      <c r="F5">
        <f>D5*E5</f>
        <v/>
      </c>
      <c r="G5">
        <f>IF(F5="","",IF(F5&gt;100000,"High",IF(F5&gt;40000,"Medium","Low")))</f>
        <v/>
      </c>
    </row>
    <row r="6">
      <c r="A6" t="n">
        <v>5</v>
      </c>
      <c r="B6">
        <f>'Données Force'!T6</f>
        <v/>
      </c>
      <c r="C6">
        <f>'Données Calisthénie'!G6</f>
        <v/>
      </c>
      <c r="D6">
        <f>SUM('Données Force'!T2:'Données Force'!T6)</f>
        <v/>
      </c>
      <c r="E6">
        <f>IF(COUNT('Données Force'!T2:'Données Force'!T6)&gt;1,STDEV.P('Données Force'!T2:'Données Force'!T6),0)</f>
        <v/>
      </c>
      <c r="F6">
        <f>D6*E6</f>
        <v/>
      </c>
      <c r="G6">
        <f>IF(F6="","",IF(F6&gt;100000,"High",IF(F6&gt;40000,"Medium","Low")))</f>
        <v/>
      </c>
    </row>
    <row r="7">
      <c r="A7" t="n">
        <v>6</v>
      </c>
      <c r="B7">
        <f>'Données Force'!T7</f>
        <v/>
      </c>
      <c r="C7">
        <f>'Données Calisthénie'!G7</f>
        <v/>
      </c>
      <c r="D7">
        <f>SUM('Données Force'!T2:'Données Force'!T7)</f>
        <v/>
      </c>
      <c r="E7">
        <f>IF(COUNT('Données Force'!T2:'Données Force'!T7)&gt;1,STDEV.P('Données Force'!T2:'Données Force'!T7),0)</f>
        <v/>
      </c>
      <c r="F7">
        <f>D7*E7</f>
        <v/>
      </c>
      <c r="G7">
        <f>IF(F7="","",IF(F7&gt;100000,"High",IF(F7&gt;40000,"Medium","Low")))</f>
        <v/>
      </c>
    </row>
    <row r="8">
      <c r="A8" t="n">
        <v>7</v>
      </c>
      <c r="B8">
        <f>'Données Force'!T8</f>
        <v/>
      </c>
      <c r="C8">
        <f>'Données Calisthénie'!G8</f>
        <v/>
      </c>
      <c r="D8">
        <f>SUM('Données Force'!T2:'Données Force'!T8)</f>
        <v/>
      </c>
      <c r="E8">
        <f>IF(COUNT('Données Force'!T2:'Données Force'!T8)&gt;1,STDEV.P('Données Force'!T2:'Données Force'!T8),0)</f>
        <v/>
      </c>
      <c r="F8">
        <f>D8*E8</f>
        <v/>
      </c>
      <c r="G8">
        <f>IF(F8="","",IF(F8&gt;100000,"High",IF(F8&gt;40000,"Medium","Low")))</f>
        <v/>
      </c>
    </row>
    <row r="9">
      <c r="A9" t="n">
        <v>8</v>
      </c>
      <c r="B9">
        <f>'Données Force'!T9</f>
        <v/>
      </c>
      <c r="C9">
        <f>'Données Calisthénie'!G9</f>
        <v/>
      </c>
      <c r="D9">
        <f>SUM('Données Force'!T3:'Données Force'!T9)</f>
        <v/>
      </c>
      <c r="E9">
        <f>IF(COUNT('Données Force'!T3:'Données Force'!T9)&gt;1,STDEV.P('Données Force'!T3:'Données Force'!T9),0)</f>
        <v/>
      </c>
      <c r="F9">
        <f>D9*E9</f>
        <v/>
      </c>
      <c r="G9">
        <f>IF(F9="","",IF(F9&gt;100000,"High",IF(F9&gt;40000,"Medium","Low")))</f>
        <v/>
      </c>
    </row>
    <row r="10">
      <c r="A10" t="n">
        <v>9</v>
      </c>
      <c r="B10">
        <f>'Données Force'!T10</f>
        <v/>
      </c>
      <c r="C10">
        <f>'Données Calisthénie'!G10</f>
        <v/>
      </c>
      <c r="D10">
        <f>SUM('Données Force'!T4:'Données Force'!T10)</f>
        <v/>
      </c>
      <c r="E10">
        <f>IF(COUNT('Données Force'!T4:'Données Force'!T10)&gt;1,STDEV.P('Données Force'!T4:'Données Force'!T10),0)</f>
        <v/>
      </c>
      <c r="F10">
        <f>D10*E10</f>
        <v/>
      </c>
      <c r="G10">
        <f>IF(F10="","",IF(F10&gt;100000,"High",IF(F10&gt;40000,"Medium","Low")))</f>
        <v/>
      </c>
    </row>
    <row r="11">
      <c r="A11" t="n">
        <v>10</v>
      </c>
      <c r="B11">
        <f>'Données Force'!T11</f>
        <v/>
      </c>
      <c r="C11">
        <f>'Données Calisthénie'!G11</f>
        <v/>
      </c>
      <c r="D11">
        <f>SUM('Données Force'!T5:'Données Force'!T11)</f>
        <v/>
      </c>
      <c r="E11">
        <f>IF(COUNT('Données Force'!T5:'Données Force'!T11)&gt;1,STDEV.P('Données Force'!T5:'Données Force'!T11),0)</f>
        <v/>
      </c>
      <c r="F11">
        <f>D11*E11</f>
        <v/>
      </c>
      <c r="G11">
        <f>IF(F11="","",IF(F11&gt;100000,"High",IF(F11&gt;40000,"Medium","Low")))</f>
        <v/>
      </c>
    </row>
    <row r="12">
      <c r="A12" t="n">
        <v>11</v>
      </c>
      <c r="B12">
        <f>'Données Force'!T12</f>
        <v/>
      </c>
      <c r="C12">
        <f>'Données Calisthénie'!G12</f>
        <v/>
      </c>
      <c r="D12">
        <f>SUM('Données Force'!T6:'Données Force'!T12)</f>
        <v/>
      </c>
      <c r="E12">
        <f>IF(COUNT('Données Force'!T6:'Données Force'!T12)&gt;1,STDEV.P('Données Force'!T6:'Données Force'!T12),0)</f>
        <v/>
      </c>
      <c r="F12">
        <f>D12*E12</f>
        <v/>
      </c>
      <c r="G12">
        <f>IF(F12="","",IF(F12&gt;100000,"High",IF(F12&gt;40000,"Medium","Low")))</f>
        <v/>
      </c>
    </row>
    <row r="13">
      <c r="A13" t="n">
        <v>12</v>
      </c>
      <c r="B13">
        <f>'Données Force'!T13</f>
        <v/>
      </c>
      <c r="C13">
        <f>'Données Calisthénie'!G13</f>
        <v/>
      </c>
      <c r="D13">
        <f>SUM('Données Force'!T7:'Données Force'!T13)</f>
        <v/>
      </c>
      <c r="E13">
        <f>IF(COUNT('Données Force'!T7:'Données Force'!T13)&gt;1,STDEV.P('Données Force'!T7:'Données Force'!T13),0)</f>
        <v/>
      </c>
      <c r="F13">
        <f>D13*E13</f>
        <v/>
      </c>
      <c r="G13">
        <f>IF(F13="","",IF(F13&gt;100000,"High",IF(F13&gt;40000,"Medium","Low")))</f>
        <v/>
      </c>
    </row>
    <row r="14">
      <c r="A14" t="n">
        <v>13</v>
      </c>
      <c r="B14">
        <f>'Données Force'!T14</f>
        <v/>
      </c>
      <c r="C14">
        <f>'Données Calisthénie'!G14</f>
        <v/>
      </c>
      <c r="D14">
        <f>SUM('Données Force'!T8:'Données Force'!T14)</f>
        <v/>
      </c>
      <c r="E14">
        <f>IF(COUNT('Données Force'!T8:'Données Force'!T14)&gt;1,STDEV.P('Données Force'!T8:'Données Force'!T14),0)</f>
        <v/>
      </c>
      <c r="F14">
        <f>D14*E14</f>
        <v/>
      </c>
      <c r="G14">
        <f>IF(F14="","",IF(F14&gt;100000,"High",IF(F14&gt;40000,"Medium","Low")))</f>
        <v/>
      </c>
    </row>
    <row r="15">
      <c r="A15" t="n">
        <v>14</v>
      </c>
      <c r="B15">
        <f>'Données Force'!T15</f>
        <v/>
      </c>
      <c r="C15">
        <f>'Données Calisthénie'!G15</f>
        <v/>
      </c>
      <c r="D15">
        <f>SUM('Données Force'!T9:'Données Force'!T15)</f>
        <v/>
      </c>
      <c r="E15">
        <f>IF(COUNT('Données Force'!T9:'Données Force'!T15)&gt;1,STDEV.P('Données Force'!T9:'Données Force'!T15),0)</f>
        <v/>
      </c>
      <c r="F15">
        <f>D15*E15</f>
        <v/>
      </c>
      <c r="G15">
        <f>IF(F15="","",IF(F15&gt;100000,"High",IF(F15&gt;40000,"Medium","Low")))</f>
        <v/>
      </c>
    </row>
    <row r="16">
      <c r="A16" t="n">
        <v>15</v>
      </c>
      <c r="B16">
        <f>'Données Force'!T16</f>
        <v/>
      </c>
      <c r="C16">
        <f>'Données Calisthénie'!G16</f>
        <v/>
      </c>
      <c r="D16">
        <f>SUM('Données Force'!T10:'Données Force'!T16)</f>
        <v/>
      </c>
      <c r="E16">
        <f>IF(COUNT('Données Force'!T10:'Données Force'!T16)&gt;1,STDEV.P('Données Force'!T10:'Données Force'!T16),0)</f>
        <v/>
      </c>
      <c r="F16">
        <f>D16*E16</f>
        <v/>
      </c>
      <c r="G16">
        <f>IF(F16="","",IF(F16&gt;100000,"High",IF(F16&gt;40000,"Medium","Low")))</f>
        <v/>
      </c>
    </row>
    <row r="17">
      <c r="A17" t="n">
        <v>16</v>
      </c>
      <c r="B17">
        <f>'Données Force'!T17</f>
        <v/>
      </c>
      <c r="C17">
        <f>'Données Calisthénie'!G17</f>
        <v/>
      </c>
      <c r="D17">
        <f>SUM('Données Force'!T11:'Données Force'!T17)</f>
        <v/>
      </c>
      <c r="E17">
        <f>IF(COUNT('Données Force'!T11:'Données Force'!T17)&gt;1,STDEV.P('Données Force'!T11:'Données Force'!T17),0)</f>
        <v/>
      </c>
      <c r="F17">
        <f>D17*E17</f>
        <v/>
      </c>
      <c r="G17">
        <f>IF(F17="","",IF(F17&gt;100000,"High",IF(F17&gt;40000,"Medium","Low")))</f>
        <v/>
      </c>
    </row>
    <row r="18">
      <c r="A18" t="n">
        <v>17</v>
      </c>
      <c r="B18">
        <f>'Données Force'!T18</f>
        <v/>
      </c>
      <c r="C18">
        <f>'Données Calisthénie'!G18</f>
        <v/>
      </c>
      <c r="D18">
        <f>SUM('Données Force'!T12:'Données Force'!T18)</f>
        <v/>
      </c>
      <c r="E18">
        <f>IF(COUNT('Données Force'!T12:'Données Force'!T18)&gt;1,STDEV.P('Données Force'!T12:'Données Force'!T18),0)</f>
        <v/>
      </c>
      <c r="F18">
        <f>D18*E18</f>
        <v/>
      </c>
      <c r="G18">
        <f>IF(F18="","",IF(F18&gt;100000,"High",IF(F18&gt;40000,"Medium","Low")))</f>
        <v/>
      </c>
    </row>
    <row r="19">
      <c r="A19" t="n">
        <v>18</v>
      </c>
      <c r="B19">
        <f>'Données Force'!T19</f>
        <v/>
      </c>
      <c r="C19">
        <f>'Données Calisthénie'!G19</f>
        <v/>
      </c>
      <c r="D19">
        <f>SUM('Données Force'!T13:'Données Force'!T19)</f>
        <v/>
      </c>
      <c r="E19">
        <f>IF(COUNT('Données Force'!T13:'Données Force'!T19)&gt;1,STDEV.P('Données Force'!T13:'Données Force'!T19),0)</f>
        <v/>
      </c>
      <c r="F19">
        <f>D19*E19</f>
        <v/>
      </c>
      <c r="G19">
        <f>IF(F19="","",IF(F19&gt;100000,"High",IF(F19&gt;40000,"Medium","Low")))</f>
        <v/>
      </c>
    </row>
    <row r="20">
      <c r="A20" t="n">
        <v>19</v>
      </c>
      <c r="B20">
        <f>'Données Force'!T20</f>
        <v/>
      </c>
      <c r="C20">
        <f>'Données Calisthénie'!G20</f>
        <v/>
      </c>
      <c r="D20">
        <f>SUM('Données Force'!T14:'Données Force'!T20)</f>
        <v/>
      </c>
      <c r="E20">
        <f>IF(COUNT('Données Force'!T14:'Données Force'!T20)&gt;1,STDEV.P('Données Force'!T14:'Données Force'!T20),0)</f>
        <v/>
      </c>
      <c r="F20">
        <f>D20*E20</f>
        <v/>
      </c>
      <c r="G20">
        <f>IF(F20="","",IF(F20&gt;100000,"High",IF(F20&gt;40000,"Medium","Low")))</f>
        <v/>
      </c>
    </row>
    <row r="21">
      <c r="A21" t="n">
        <v>20</v>
      </c>
      <c r="B21">
        <f>'Données Force'!T21</f>
        <v/>
      </c>
      <c r="C21">
        <f>'Données Calisthénie'!G21</f>
        <v/>
      </c>
      <c r="D21">
        <f>SUM('Données Force'!T15:'Données Force'!T21)</f>
        <v/>
      </c>
      <c r="E21">
        <f>IF(COUNT('Données Force'!T15:'Données Force'!T21)&gt;1,STDEV.P('Données Force'!T15:'Données Force'!T21),0)</f>
        <v/>
      </c>
      <c r="F21">
        <f>D21*E21</f>
        <v/>
      </c>
      <c r="G21">
        <f>IF(F21="","",IF(F21&gt;100000,"High",IF(F21&gt;40000,"Medium","Low")))</f>
        <v/>
      </c>
    </row>
    <row r="22">
      <c r="A22" t="n">
        <v>21</v>
      </c>
      <c r="B22">
        <f>'Données Force'!T22</f>
        <v/>
      </c>
      <c r="C22">
        <f>'Données Calisthénie'!G22</f>
        <v/>
      </c>
      <c r="D22">
        <f>SUM('Données Force'!T16:'Données Force'!T22)</f>
        <v/>
      </c>
      <c r="E22">
        <f>IF(COUNT('Données Force'!T16:'Données Force'!T22)&gt;1,STDEV.P('Données Force'!T16:'Données Force'!T22),0)</f>
        <v/>
      </c>
      <c r="F22">
        <f>D22*E22</f>
        <v/>
      </c>
      <c r="G22">
        <f>IF(F22="","",IF(F22&gt;100000,"High",IF(F22&gt;40000,"Medium","Low")))</f>
        <v/>
      </c>
    </row>
    <row r="23">
      <c r="A23" t="n">
        <v>22</v>
      </c>
      <c r="B23">
        <f>'Données Force'!T23</f>
        <v/>
      </c>
      <c r="C23">
        <f>'Données Calisthénie'!G23</f>
        <v/>
      </c>
      <c r="D23">
        <f>SUM('Données Force'!T17:'Données Force'!T23)</f>
        <v/>
      </c>
      <c r="E23">
        <f>IF(COUNT('Données Force'!T17:'Données Force'!T23)&gt;1,STDEV.P('Données Force'!T17:'Données Force'!T23),0)</f>
        <v/>
      </c>
      <c r="F23">
        <f>D23*E23</f>
        <v/>
      </c>
      <c r="G23">
        <f>IF(F23="","",IF(F23&gt;100000,"High",IF(F23&gt;40000,"Medium","Low")))</f>
        <v/>
      </c>
    </row>
    <row r="24">
      <c r="A24" t="n">
        <v>23</v>
      </c>
      <c r="B24">
        <f>'Données Force'!T24</f>
        <v/>
      </c>
      <c r="C24">
        <f>'Données Calisthénie'!G24</f>
        <v/>
      </c>
      <c r="D24">
        <f>SUM('Données Force'!T18:'Données Force'!T24)</f>
        <v/>
      </c>
      <c r="E24">
        <f>IF(COUNT('Données Force'!T18:'Données Force'!T24)&gt;1,STDEV.P('Données Force'!T18:'Données Force'!T24),0)</f>
        <v/>
      </c>
      <c r="F24">
        <f>D24*E24</f>
        <v/>
      </c>
      <c r="G24">
        <f>IF(F24="","",IF(F24&gt;100000,"High",IF(F24&gt;40000,"Medium","Low")))</f>
        <v/>
      </c>
    </row>
    <row r="25">
      <c r="A25" t="n">
        <v>24</v>
      </c>
      <c r="B25">
        <f>'Données Force'!T25</f>
        <v/>
      </c>
      <c r="C25">
        <f>'Données Calisthénie'!G25</f>
        <v/>
      </c>
      <c r="D25">
        <f>SUM('Données Force'!T19:'Données Force'!T25)</f>
        <v/>
      </c>
      <c r="E25">
        <f>IF(COUNT('Données Force'!T19:'Données Force'!T25)&gt;1,STDEV.P('Données Force'!T19:'Données Force'!T25),0)</f>
        <v/>
      </c>
      <c r="F25">
        <f>D25*E25</f>
        <v/>
      </c>
      <c r="G25">
        <f>IF(F25="","",IF(F25&gt;100000,"High",IF(F25&gt;40000,"Medium","Low")))</f>
        <v/>
      </c>
    </row>
    <row r="26">
      <c r="A26" t="n">
        <v>25</v>
      </c>
      <c r="B26">
        <f>'Données Force'!T26</f>
        <v/>
      </c>
      <c r="C26">
        <f>'Données Calisthénie'!G26</f>
        <v/>
      </c>
      <c r="D26">
        <f>SUM('Données Force'!T20:'Données Force'!T26)</f>
        <v/>
      </c>
      <c r="E26">
        <f>IF(COUNT('Données Force'!T20:'Données Force'!T26)&gt;1,STDEV.P('Données Force'!T20:'Données Force'!T26),0)</f>
        <v/>
      </c>
      <c r="F26">
        <f>D26*E26</f>
        <v/>
      </c>
      <c r="G26">
        <f>IF(F26="","",IF(F26&gt;100000,"High",IF(F26&gt;40000,"Medium","Low")))</f>
        <v/>
      </c>
    </row>
    <row r="27">
      <c r="A27" t="n">
        <v>26</v>
      </c>
      <c r="B27">
        <f>'Données Force'!T27</f>
        <v/>
      </c>
      <c r="C27">
        <f>'Données Calisthénie'!G27</f>
        <v/>
      </c>
      <c r="D27">
        <f>SUM('Données Force'!T21:'Données Force'!T27)</f>
        <v/>
      </c>
      <c r="E27">
        <f>IF(COUNT('Données Force'!T21:'Données Force'!T27)&gt;1,STDEV.P('Données Force'!T21:'Données Force'!T27),0)</f>
        <v/>
      </c>
      <c r="F27">
        <f>D27*E27</f>
        <v/>
      </c>
      <c r="G27">
        <f>IF(F27="","",IF(F27&gt;100000,"High",IF(F27&gt;40000,"Medium","Low")))</f>
        <v/>
      </c>
    </row>
    <row r="28">
      <c r="A28" t="n">
        <v>27</v>
      </c>
      <c r="B28">
        <f>'Données Force'!T28</f>
        <v/>
      </c>
      <c r="C28">
        <f>'Données Calisthénie'!G28</f>
        <v/>
      </c>
      <c r="D28">
        <f>SUM('Données Force'!T22:'Données Force'!T28)</f>
        <v/>
      </c>
      <c r="E28">
        <f>IF(COUNT('Données Force'!T22:'Données Force'!T28)&gt;1,STDEV.P('Données Force'!T22:'Données Force'!T28),0)</f>
        <v/>
      </c>
      <c r="F28">
        <f>D28*E28</f>
        <v/>
      </c>
      <c r="G28">
        <f>IF(F28="","",IF(F28&gt;100000,"High",IF(F28&gt;40000,"Medium","Low")))</f>
        <v/>
      </c>
    </row>
    <row r="29">
      <c r="A29" t="n">
        <v>28</v>
      </c>
      <c r="B29">
        <f>'Données Force'!T29</f>
        <v/>
      </c>
      <c r="C29">
        <f>'Données Calisthénie'!G29</f>
        <v/>
      </c>
      <c r="D29">
        <f>SUM('Données Force'!T23:'Données Force'!T29)</f>
        <v/>
      </c>
      <c r="E29">
        <f>IF(COUNT('Données Force'!T23:'Données Force'!T29)&gt;1,STDEV.P('Données Force'!T23:'Données Force'!T29),0)</f>
        <v/>
      </c>
      <c r="F29">
        <f>D29*E29</f>
        <v/>
      </c>
      <c r="G29">
        <f>IF(F29="","",IF(F29&gt;100000,"High",IF(F29&gt;40000,"Medium","Low")))</f>
        <v/>
      </c>
    </row>
    <row r="30">
      <c r="A30" t="n">
        <v>29</v>
      </c>
      <c r="B30">
        <f>'Données Force'!T30</f>
        <v/>
      </c>
      <c r="C30">
        <f>'Données Calisthénie'!G30</f>
        <v/>
      </c>
      <c r="D30">
        <f>SUM('Données Force'!T24:'Données Force'!T30)</f>
        <v/>
      </c>
      <c r="E30">
        <f>IF(COUNT('Données Force'!T24:'Données Force'!T30)&gt;1,STDEV.P('Données Force'!T24:'Données Force'!T30),0)</f>
        <v/>
      </c>
      <c r="F30">
        <f>D30*E30</f>
        <v/>
      </c>
      <c r="G30">
        <f>IF(F30="","",IF(F30&gt;100000,"High",IF(F30&gt;40000,"Medium","Low")))</f>
        <v/>
      </c>
    </row>
    <row r="31">
      <c r="A31" t="n">
        <v>30</v>
      </c>
      <c r="B31">
        <f>'Données Force'!T31</f>
        <v/>
      </c>
      <c r="C31">
        <f>'Données Calisthénie'!G31</f>
        <v/>
      </c>
      <c r="D31">
        <f>SUM('Données Force'!T25:'Données Force'!T31)</f>
        <v/>
      </c>
      <c r="E31">
        <f>IF(COUNT('Données Force'!T25:'Données Force'!T31)&gt;1,STDEV.P('Données Force'!T25:'Données Force'!T31),0)</f>
        <v/>
      </c>
      <c r="F31">
        <f>D31*E31</f>
        <v/>
      </c>
      <c r="G31">
        <f>IF(F31="","",IF(F31&gt;100000,"High",IF(F31&gt;40000,"Medium","Low")))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Sommeil (0-10)</t>
        </is>
      </c>
      <c r="C1" t="inlineStr">
        <is>
          <t>Hydratation (0-10)</t>
        </is>
      </c>
      <c r="D1" t="inlineStr">
        <is>
          <t>Nutrition (0-10)</t>
        </is>
      </c>
      <c r="E1" t="inlineStr">
        <is>
          <t>Stress (0-10)</t>
        </is>
      </c>
      <c r="F1" t="inlineStr">
        <is>
          <t>Concentration (0-10)</t>
        </is>
      </c>
      <c r="G1" t="inlineStr">
        <is>
          <t>Énergie (0-10)</t>
        </is>
      </c>
      <c r="H1" t="inlineStr">
        <is>
          <t>Humeur (0-10)</t>
        </is>
      </c>
      <c r="I1" t="inlineStr">
        <is>
          <t>Readiness (0-100)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>
        <f>AVERAGE(B2:H2)*10</f>
        <v/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>
        <f>AVERAGE(B3:H3)*10</f>
        <v/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>
        <f>AVERAGE(B4:H4)*10</f>
        <v/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>
        <f>AVERAGE(B5:H5)*10</f>
        <v/>
      </c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>
        <f>AVERAGE(B6:H6)*10</f>
        <v/>
      </c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>
        <f>AVERAGE(B7:H7)*10</f>
        <v/>
      </c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>
        <f>AVERAGE(B8:H8)*10</f>
        <v/>
      </c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>
        <f>AVERAGE(B9:H9)*10</f>
        <v/>
      </c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>
        <f>AVERAGE(B10:H10)*10</f>
        <v/>
      </c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>
        <f>AVERAGE(B11:H11)*10</f>
        <v/>
      </c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>
        <f>AVERAGE(B12:H12)*10</f>
        <v/>
      </c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>
        <f>AVERAGE(B13:H13)*10</f>
        <v/>
      </c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>
        <f>AVERAGE(B14:H14)*10</f>
        <v/>
      </c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>
        <f>AVERAGE(B15:H15)*10</f>
        <v/>
      </c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>
        <f>AVERAGE(B16:H16)*10</f>
        <v/>
      </c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>
        <f>AVERAGE(B17:H17)*10</f>
        <v/>
      </c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>
        <f>AVERAGE(B18:H18)*10</f>
        <v/>
      </c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>
        <f>AVERAGE(B19:H19)*10</f>
        <v/>
      </c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>
        <f>AVERAGE(B20:H20)*10</f>
        <v/>
      </c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>
        <f>AVERAGE(B21:H21)*10</f>
        <v/>
      </c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>
        <f>AVERAGE(B22:H22)*10</f>
        <v/>
      </c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>
        <f>AVERAGE(B23:H23)*10</f>
        <v/>
      </c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>
        <f>AVERAGE(B24:H24)*10</f>
        <v/>
      </c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>
        <f>AVERAGE(B25:H25)*10</f>
        <v/>
      </c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>
        <f>AVERAGE(B26:H26)*10</f>
        <v/>
      </c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>
        <f>AVERAGE(B27:H27)*10</f>
        <v/>
      </c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>
        <f>AVERAGE(B28:H28)*10</f>
        <v/>
      </c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>
        <f>AVERAGE(B29:H29)*10</f>
        <v/>
      </c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>
        <f>AVERAGE(B30:H30)*10</f>
        <v/>
      </c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>
        <f>AVERAGE(B31:H31)*10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PR</t>
        </is>
      </c>
      <c r="C1" t="inlineStr">
        <is>
          <t>Catégorie</t>
        </is>
      </c>
      <c r="D1" t="inlineStr">
        <is>
          <t>Score Normalisé (0-100)</t>
        </is>
      </c>
      <c r="F1" t="inlineStr">
        <is>
          <t>Score Global SAH</t>
        </is>
      </c>
    </row>
    <row r="2">
      <c r="A2" t="inlineStr">
        <is>
          <t>Squat (kg)</t>
        </is>
      </c>
      <c r="B2">
        <f>INDEX('PR Automatiques'!B:B,MATCH(A2,'PR Automatiques'!A:A,0))</f>
        <v/>
      </c>
      <c r="C2" t="inlineStr">
        <is>
          <t>Force</t>
        </is>
      </c>
      <c r="D2" t="inlineStr"/>
      <c r="F2">
        <f>0.35*AVERAGEIF(C2:C9,"Force",D2:D9)+0.35*AVERAGEIF(C2:C9,"Explosivité",D2:D9)+0.10*AVERAGEIF(C2:C9,"Endurance",D2:D9)+0.20*AVERAGEIF(C2:C9,"Puissance Nerveuse",D2:D9)</f>
        <v/>
      </c>
    </row>
    <row r="3">
      <c r="A3" t="inlineStr">
        <is>
          <t>Bench (kg)</t>
        </is>
      </c>
      <c r="B3">
        <f>INDEX('PR Automatiques'!B:B,MATCH(A3,'PR Automatiques'!A:A,0))</f>
        <v/>
      </c>
      <c r="C3" t="inlineStr">
        <is>
          <t>Force</t>
        </is>
      </c>
      <c r="D3" t="inlineStr"/>
    </row>
    <row r="4">
      <c r="A4" t="inlineStr">
        <is>
          <t>Deadlift (kg)</t>
        </is>
      </c>
      <c r="B4">
        <f>INDEX('PR Automatiques'!B:B,MATCH(A4,'PR Automatiques'!A:A,0))</f>
        <v/>
      </c>
      <c r="C4" t="inlineStr">
        <is>
          <t>Force</t>
        </is>
      </c>
      <c r="D4" t="inlineStr"/>
    </row>
    <row r="5">
      <c r="A5" t="inlineStr">
        <is>
          <t>Traction Lestée (kg)</t>
        </is>
      </c>
      <c r="B5">
        <f>INDEX('PR Automatiques'!B:B,MATCH(A5,'PR Automatiques'!A:A,0))</f>
        <v/>
      </c>
      <c r="C5" t="inlineStr">
        <is>
          <t>Explosivité</t>
        </is>
      </c>
      <c r="D5" t="inlineStr"/>
    </row>
    <row r="6">
      <c r="A6" t="inlineStr">
        <is>
          <t>HSPU (reps)</t>
        </is>
      </c>
      <c r="B6">
        <f>INDEX('PR Automatiques'!B:B,MATCH(A6,'PR Automatiques'!A:A,0))</f>
        <v/>
      </c>
      <c r="C6" t="inlineStr">
        <is>
          <t>Explosivité</t>
        </is>
      </c>
      <c r="D6" t="inlineStr"/>
    </row>
    <row r="7">
      <c r="A7" t="inlineStr">
        <is>
          <t>MU (reps)</t>
        </is>
      </c>
      <c r="B7">
        <f>INDEX('PR Automatiques'!B:B,MATCH(A7,'PR Automatiques'!A:A,0))</f>
        <v/>
      </c>
      <c r="C7" t="inlineStr">
        <is>
          <t>Explosivité</t>
        </is>
      </c>
      <c r="D7" t="inlineStr"/>
    </row>
    <row r="8">
      <c r="A8" t="inlineStr">
        <is>
          <t>Planche (sec)</t>
        </is>
      </c>
      <c r="B8">
        <f>INDEX('PR Automatiques'!B:B,MATCH(A8,'PR Automatiques'!A:A,0))</f>
        <v/>
      </c>
      <c r="C8" t="inlineStr">
        <is>
          <t>Puissance Nerveuse</t>
        </is>
      </c>
      <c r="D8" t="inlineStr"/>
    </row>
    <row r="9">
      <c r="A9" t="inlineStr">
        <is>
          <t>Box Jump (cm)</t>
        </is>
      </c>
      <c r="B9">
        <f>INDEX('PR Automatiques'!B:B,MATCH(A9,'PR Automatiques'!A:A,0))</f>
        <v/>
      </c>
      <c r="C9" t="inlineStr">
        <is>
          <t>Explosivité</t>
        </is>
      </c>
      <c r="D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Readiness</t>
        </is>
      </c>
      <c r="B1" t="inlineStr">
        <is>
          <t>Fatigue</t>
        </is>
      </c>
      <c r="C1" t="inlineStr">
        <is>
          <t>Suggestion</t>
        </is>
      </c>
    </row>
    <row r="2">
      <c r="A2">
        <f>AVERAGE('Lifestyle'!I2:I31)</f>
        <v/>
      </c>
      <c r="B2">
        <f>AVERAGE('Fatigue &amp; Readiness'!F2:F31)</f>
        <v/>
      </c>
      <c r="C2">
        <f>IF(A2&gt;80,"Heavy Day",IF(A2&gt;60,"Technique / Speed",IF(A2&gt;40,"Hypertrophy",IF(A2&gt;20,"Calisthénie Only","Rest / Mobility"))))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>
        <is>
          <t>MICRO-CYCLE PEAK PERFORMANCE (7 jours)</t>
        </is>
      </c>
    </row>
    <row r="3">
      <c r="A3" t="inlineStr"/>
    </row>
    <row r="4">
      <c r="A4" t="inlineStr">
        <is>
          <t>Jour 1 — Activation Nerveuse + Explosivité</t>
        </is>
      </c>
    </row>
    <row r="5">
      <c r="A5" t="inlineStr">
        <is>
          <t>HSPU 6×2, MU 5×1, Planche 6×10s</t>
        </is>
      </c>
    </row>
    <row r="6">
      <c r="A6" t="inlineStr">
        <is>
          <t>Box Jump 6×2, Sprints 20m</t>
        </is>
      </c>
    </row>
    <row r="7">
      <c r="A7" t="inlineStr">
        <is>
          <t>Squat 3×2, Bench 3×2, Traction Lestée 3×2</t>
        </is>
      </c>
    </row>
    <row r="8">
      <c r="A8" t="inlineStr"/>
    </row>
    <row r="9">
      <c r="A9" t="inlineStr">
        <is>
          <t>Jour 2 — Technique + Vitesse</t>
        </is>
      </c>
    </row>
    <row r="10">
      <c r="A10" t="inlineStr">
        <is>
          <t>HSPU negatives, MU transitions</t>
        </is>
      </c>
    </row>
    <row r="11">
      <c r="A11" t="inlineStr">
        <is>
          <t>Clapping push-ups, Kipping pulls</t>
        </is>
      </c>
    </row>
    <row r="12">
      <c r="A12" t="inlineStr">
        <is>
          <t>Deadlift 2×2, Rowing explosif 3×3</t>
        </is>
      </c>
    </row>
    <row r="13">
      <c r="A13" t="inlineStr"/>
    </row>
    <row r="14">
      <c r="A14" t="inlineStr">
        <is>
          <t>Jour 3 — Rest/Mobilité</t>
        </is>
      </c>
    </row>
    <row r="15">
      <c r="A15" t="inlineStr"/>
    </row>
    <row r="16">
      <c r="A16" t="inlineStr">
        <is>
          <t>Jour 4 — Peak Legs</t>
        </is>
      </c>
    </row>
    <row r="17">
      <c r="A17" t="inlineStr">
        <is>
          <t>Pistol squat, Broad jump, Sprints</t>
        </is>
      </c>
    </row>
    <row r="18">
      <c r="A18" t="inlineStr">
        <is>
          <t>Front squat 3×1, RDL 2×2</t>
        </is>
      </c>
    </row>
    <row r="19">
      <c r="A19" t="inlineStr"/>
    </row>
    <row r="20">
      <c r="A20" t="inlineStr">
        <is>
          <t>Jour 5 — Peak Upper Body</t>
        </is>
      </c>
    </row>
    <row r="21">
      <c r="A21" t="inlineStr">
        <is>
          <t>HSPU freestanding, MU explosifs</t>
        </is>
      </c>
    </row>
    <row r="22">
      <c r="A22" t="inlineStr">
        <is>
          <t>OHP 3×1, Traction lestée lourde</t>
        </is>
      </c>
    </row>
    <row r="23">
      <c r="A23" t="inlineStr">
        <is>
          <t>Med-ball throws</t>
        </is>
      </c>
    </row>
    <row r="24">
      <c r="A24" t="inlineStr"/>
    </row>
    <row r="25">
      <c r="A25" t="inlineStr">
        <is>
          <t>Jour 6 — Low Intensity Flow</t>
        </is>
      </c>
    </row>
    <row r="26">
      <c r="A26" t="inlineStr"/>
    </row>
    <row r="27">
      <c r="A27" t="inlineStr">
        <is>
          <t>Jour 7 — Peak Test (max 2 tests lourds)</t>
        </is>
      </c>
    </row>
    <row r="28">
      <c r="A2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Objectif Principal</t>
        </is>
      </c>
      <c r="C1" t="inlineStr">
        <is>
          <t>Type de Mésocycle</t>
        </is>
      </c>
      <c r="D1" t="inlineStr">
        <is>
          <t>Focus Force</t>
        </is>
      </c>
      <c r="E1" t="inlineStr">
        <is>
          <t>Focus Explosivité</t>
        </is>
      </c>
      <c r="F1" t="inlineStr">
        <is>
          <t>Focus Skill</t>
        </is>
      </c>
      <c r="G1" t="inlineStr">
        <is>
          <t>Volume Cible</t>
        </is>
      </c>
      <c r="H1" t="inlineStr">
        <is>
          <t>Intensité Cible</t>
        </is>
      </c>
      <c r="I1" t="inlineStr">
        <is>
          <t>Notes</t>
        </is>
      </c>
    </row>
    <row r="2">
      <c r="A2" t="inlineStr">
        <is>
          <t>Janvier</t>
        </is>
      </c>
      <c r="B2" t="inlineStr"/>
      <c r="C2">
        <f>IF(OR(ROW()=2,ROW()=3,ROW()=4),"Accumulation",IF(ROW()=5,"Peak",IF(ROW()=6,"Deload","Accumulation")))</f>
        <v/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Février</t>
        </is>
      </c>
      <c r="B3" t="inlineStr"/>
      <c r="C3">
        <f>IF(OR(ROW()=2,ROW()=3,ROW()=4),"Accumulation",IF(ROW()=5,"Peak",IF(ROW()=6,"Deload","Accumulation")))</f>
        <v/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Mars</t>
        </is>
      </c>
      <c r="B4" t="inlineStr"/>
      <c r="C4">
        <f>IF(OR(ROW()=2,ROW()=3,ROW()=4),"Accumulation",IF(ROW()=5,"Peak",IF(ROW()=6,"Deload","Accumulation")))</f>
        <v/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Avril</t>
        </is>
      </c>
      <c r="B5" t="inlineStr"/>
      <c r="C5">
        <f>IF(OR(ROW()=2,ROW()=3,ROW()=4),"Accumulation",IF(ROW()=5,"Peak",IF(ROW()=6,"Deload","Accumulation")))</f>
        <v/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Mai</t>
        </is>
      </c>
      <c r="B6" t="inlineStr"/>
      <c r="C6">
        <f>IF(OR(ROW()=2,ROW()=3,ROW()=4),"Accumulation",IF(ROW()=5,"Peak",IF(ROW()=6,"Deload","Accumulation")))</f>
        <v/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Juin</t>
        </is>
      </c>
      <c r="B7" t="inlineStr"/>
      <c r="C7">
        <f>IF(OR(ROW()=2,ROW()=3,ROW()=4),"Accumulation",IF(ROW()=5,"Peak",IF(ROW()=6,"Deload","Accumulation")))</f>
        <v/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Juillet</t>
        </is>
      </c>
      <c r="B8" t="inlineStr"/>
      <c r="C8">
        <f>IF(OR(ROW()=2,ROW()=3,ROW()=4),"Accumulation",IF(ROW()=5,"Peak",IF(ROW()=6,"Deload","Accumulation")))</f>
        <v/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Août</t>
        </is>
      </c>
      <c r="B9" t="inlineStr"/>
      <c r="C9">
        <f>IF(OR(ROW()=2,ROW()=3,ROW()=4),"Accumulation",IF(ROW()=5,"Peak",IF(ROW()=6,"Deload","Accumulation")))</f>
        <v/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Septembre</t>
        </is>
      </c>
      <c r="B10" t="inlineStr"/>
      <c r="C10">
        <f>IF(OR(ROW()=2,ROW()=3,ROW()=4),"Accumulation",IF(ROW()=5,"Peak",IF(ROW()=6,"Deload","Accumulation")))</f>
        <v/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Octobre</t>
        </is>
      </c>
      <c r="B11" t="inlineStr"/>
      <c r="C11">
        <f>IF(OR(ROW()=2,ROW()=3,ROW()=4),"Accumulation",IF(ROW()=5,"Peak",IF(ROW()=6,"Deload","Accumulation")))</f>
        <v/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Novembre</t>
        </is>
      </c>
      <c r="B12" t="inlineStr"/>
      <c r="C12">
        <f>IF(OR(ROW()=2,ROW()=3,ROW()=4),"Accumulation",IF(ROW()=5,"Peak",IF(ROW()=6,"Deload","Accumulation")))</f>
        <v/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Décembre</t>
        </is>
      </c>
      <c r="B13" t="inlineStr"/>
      <c r="C13">
        <f>IF(OR(ROW()=2,ROW()=3,ROW()=4),"Accumulation",IF(ROW()=5,"Peak",IF(ROW()=6,"Deload","Accumulation")))</f>
        <v/>
      </c>
      <c r="D13" t="inlineStr"/>
      <c r="E13" t="inlineStr"/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Semaine</t>
        </is>
      </c>
      <c r="B1" t="inlineStr">
        <is>
          <t>Type</t>
        </is>
      </c>
      <c r="C1" t="inlineStr">
        <is>
          <t>Volume Cible</t>
        </is>
      </c>
      <c r="D1" t="inlineStr">
        <is>
          <t>Intensité Cible</t>
        </is>
      </c>
      <c r="E1" t="inlineStr">
        <is>
          <t>Skill Focus</t>
        </is>
      </c>
      <c r="F1" t="inlineStr">
        <is>
          <t>Force Focus</t>
        </is>
      </c>
      <c r="G1" t="inlineStr">
        <is>
          <t>Explosivité Focus</t>
        </is>
      </c>
    </row>
    <row r="2">
      <c r="A2" t="inlineStr">
        <is>
          <t>S1</t>
        </is>
      </c>
      <c r="B2" t="inlineStr">
        <is>
          <t>Accumulation</t>
        </is>
      </c>
      <c r="C2" t="inlineStr">
        <is>
          <t>High</t>
        </is>
      </c>
      <c r="D2" t="inlineStr">
        <is>
          <t>Low</t>
        </is>
      </c>
      <c r="E2" t="inlineStr">
        <is>
          <t>Base Skill</t>
        </is>
      </c>
      <c r="F2" t="inlineStr">
        <is>
          <t>Volume Force</t>
        </is>
      </c>
      <c r="G2" t="inlineStr">
        <is>
          <t>Low Plyo</t>
        </is>
      </c>
    </row>
    <row r="3">
      <c r="A3" t="inlineStr">
        <is>
          <t>S2</t>
        </is>
      </c>
      <c r="B3" t="inlineStr">
        <is>
          <t>Accumulation</t>
        </is>
      </c>
      <c r="C3" t="inlineStr">
        <is>
          <t>High</t>
        </is>
      </c>
      <c r="D3" t="inlineStr">
        <is>
          <t>Medium</t>
        </is>
      </c>
      <c r="E3" t="inlineStr">
        <is>
          <t>Skill+</t>
        </is>
      </c>
      <c r="F3" t="inlineStr">
        <is>
          <t>Force+</t>
        </is>
      </c>
      <c r="G3" t="inlineStr">
        <is>
          <t>Explosivité+</t>
        </is>
      </c>
    </row>
    <row r="4">
      <c r="A4" t="inlineStr">
        <is>
          <t>S3</t>
        </is>
      </c>
      <c r="B4" t="inlineStr">
        <is>
          <t>Intensification</t>
        </is>
      </c>
      <c r="C4" t="inlineStr">
        <is>
          <t>Medium</t>
        </is>
      </c>
      <c r="D4" t="inlineStr">
        <is>
          <t>High</t>
        </is>
      </c>
      <c r="E4" t="inlineStr">
        <is>
          <t>Skill avancé</t>
        </is>
      </c>
      <c r="F4" t="inlineStr">
        <is>
          <t>Heavy Strength</t>
        </is>
      </c>
      <c r="G4" t="inlineStr">
        <is>
          <t>Power</t>
        </is>
      </c>
    </row>
    <row r="5">
      <c r="A5" t="inlineStr">
        <is>
          <t>S4</t>
        </is>
      </c>
      <c r="B5" t="inlineStr">
        <is>
          <t>Deload</t>
        </is>
      </c>
      <c r="C5" t="inlineStr">
        <is>
          <t>Low</t>
        </is>
      </c>
      <c r="D5" t="inlineStr">
        <is>
          <t>Low</t>
        </is>
      </c>
      <c r="E5" t="inlineStr">
        <is>
          <t>Technique</t>
        </is>
      </c>
      <c r="F5" t="inlineStr">
        <is>
          <t>Léger</t>
        </is>
      </c>
      <c r="G5" t="inlineStr">
        <is>
          <t>Repos nerveux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S1 Type</t>
        </is>
      </c>
      <c r="C1" t="inlineStr">
        <is>
          <t>S2 Type</t>
        </is>
      </c>
      <c r="D1" t="inlineStr">
        <is>
          <t>S3 Type</t>
        </is>
      </c>
      <c r="E1" t="inlineStr">
        <is>
          <t>S4 Type</t>
        </is>
      </c>
      <c r="F1" t="inlineStr">
        <is>
          <t>Volume Moyen</t>
        </is>
      </c>
      <c r="G1" t="inlineStr">
        <is>
          <t>Intensité Moyenne</t>
        </is>
      </c>
    </row>
    <row r="2">
      <c r="A2" t="inlineStr">
        <is>
          <t>Janvier</t>
        </is>
      </c>
      <c r="B2">
        <f>'Mésocycle-Type'!B2</f>
        <v/>
      </c>
      <c r="C2">
        <f>'Mésocycle-Type'!B3</f>
        <v/>
      </c>
      <c r="D2">
        <f>'Mésocycle-Type'!B4</f>
        <v/>
      </c>
      <c r="E2">
        <f>'Mésocycle-Type'!B5</f>
        <v/>
      </c>
      <c r="F2">
        <f>AVERAGE('Mésocycle-Type'!C2:C5)</f>
        <v/>
      </c>
      <c r="G2">
        <f>AVERAGE('Mésocycle-Type'!D2:D5)</f>
        <v/>
      </c>
    </row>
    <row r="3">
      <c r="A3" t="inlineStr">
        <is>
          <t>Février</t>
        </is>
      </c>
      <c r="B3">
        <f>'Mésocycle-Type'!B2</f>
        <v/>
      </c>
      <c r="C3">
        <f>'Mésocycle-Type'!B3</f>
        <v/>
      </c>
      <c r="D3">
        <f>'Mésocycle-Type'!B4</f>
        <v/>
      </c>
      <c r="E3">
        <f>'Mésocycle-Type'!B5</f>
        <v/>
      </c>
      <c r="F3">
        <f>AVERAGE('Mésocycle-Type'!C2:C5)</f>
        <v/>
      </c>
      <c r="G3">
        <f>AVERAGE('Mésocycle-Type'!D2:D5)</f>
        <v/>
      </c>
    </row>
    <row r="4">
      <c r="A4" t="inlineStr">
        <is>
          <t>Mars</t>
        </is>
      </c>
      <c r="B4">
        <f>'Mésocycle-Type'!B2</f>
        <v/>
      </c>
      <c r="C4">
        <f>'Mésocycle-Type'!B3</f>
        <v/>
      </c>
      <c r="D4">
        <f>'Mésocycle-Type'!B4</f>
        <v/>
      </c>
      <c r="E4">
        <f>'Mésocycle-Type'!B5</f>
        <v/>
      </c>
      <c r="F4">
        <f>AVERAGE('Mésocycle-Type'!C2:C5)</f>
        <v/>
      </c>
      <c r="G4">
        <f>AVERAGE('Mésocycle-Type'!D2:D5)</f>
        <v/>
      </c>
    </row>
    <row r="5">
      <c r="A5" t="inlineStr">
        <is>
          <t>Avril</t>
        </is>
      </c>
      <c r="B5">
        <f>'Mésocycle-Type'!B2</f>
        <v/>
      </c>
      <c r="C5">
        <f>'Mésocycle-Type'!B3</f>
        <v/>
      </c>
      <c r="D5">
        <f>'Mésocycle-Type'!B4</f>
        <v/>
      </c>
      <c r="E5">
        <f>'Mésocycle-Type'!B5</f>
        <v/>
      </c>
      <c r="F5">
        <f>AVERAGE('Mésocycle-Type'!C2:C5)</f>
        <v/>
      </c>
      <c r="G5">
        <f>AVERAGE('Mésocycle-Type'!D2:D5)</f>
        <v/>
      </c>
    </row>
    <row r="6">
      <c r="A6" t="inlineStr">
        <is>
          <t>Mai</t>
        </is>
      </c>
      <c r="B6">
        <f>'Mésocycle-Type'!B2</f>
        <v/>
      </c>
      <c r="C6">
        <f>'Mésocycle-Type'!B3</f>
        <v/>
      </c>
      <c r="D6">
        <f>'Mésocycle-Type'!B4</f>
        <v/>
      </c>
      <c r="E6">
        <f>'Mésocycle-Type'!B5</f>
        <v/>
      </c>
      <c r="F6">
        <f>AVERAGE('Mésocycle-Type'!C2:C5)</f>
        <v/>
      </c>
      <c r="G6">
        <f>AVERAGE('Mésocycle-Type'!D2:D5)</f>
        <v/>
      </c>
    </row>
    <row r="7">
      <c r="A7" t="inlineStr">
        <is>
          <t>Juin</t>
        </is>
      </c>
      <c r="B7">
        <f>'Mésocycle-Type'!B2</f>
        <v/>
      </c>
      <c r="C7">
        <f>'Mésocycle-Type'!B3</f>
        <v/>
      </c>
      <c r="D7">
        <f>'Mésocycle-Type'!B4</f>
        <v/>
      </c>
      <c r="E7">
        <f>'Mésocycle-Type'!B5</f>
        <v/>
      </c>
      <c r="F7">
        <f>AVERAGE('Mésocycle-Type'!C2:C5)</f>
        <v/>
      </c>
      <c r="G7">
        <f>AVERAGE('Mésocycle-Type'!D2:D5)</f>
        <v/>
      </c>
    </row>
    <row r="8">
      <c r="A8" t="inlineStr">
        <is>
          <t>Juillet</t>
        </is>
      </c>
      <c r="B8">
        <f>'Mésocycle-Type'!B2</f>
        <v/>
      </c>
      <c r="C8">
        <f>'Mésocycle-Type'!B3</f>
        <v/>
      </c>
      <c r="D8">
        <f>'Mésocycle-Type'!B4</f>
        <v/>
      </c>
      <c r="E8">
        <f>'Mésocycle-Type'!B5</f>
        <v/>
      </c>
      <c r="F8">
        <f>AVERAGE('Mésocycle-Type'!C2:C5)</f>
        <v/>
      </c>
      <c r="G8">
        <f>AVERAGE('Mésocycle-Type'!D2:D5)</f>
        <v/>
      </c>
    </row>
    <row r="9">
      <c r="A9" t="inlineStr">
        <is>
          <t>Août</t>
        </is>
      </c>
      <c r="B9">
        <f>'Mésocycle-Type'!B2</f>
        <v/>
      </c>
      <c r="C9">
        <f>'Mésocycle-Type'!B3</f>
        <v/>
      </c>
      <c r="D9">
        <f>'Mésocycle-Type'!B4</f>
        <v/>
      </c>
      <c r="E9">
        <f>'Mésocycle-Type'!B5</f>
        <v/>
      </c>
      <c r="F9">
        <f>AVERAGE('Mésocycle-Type'!C2:C5)</f>
        <v/>
      </c>
      <c r="G9">
        <f>AVERAGE('Mésocycle-Type'!D2:D5)</f>
        <v/>
      </c>
    </row>
    <row r="10">
      <c r="A10" t="inlineStr">
        <is>
          <t>Septembre</t>
        </is>
      </c>
      <c r="B10">
        <f>'Mésocycle-Type'!B2</f>
        <v/>
      </c>
      <c r="C10">
        <f>'Mésocycle-Type'!B3</f>
        <v/>
      </c>
      <c r="D10">
        <f>'Mésocycle-Type'!B4</f>
        <v/>
      </c>
      <c r="E10">
        <f>'Mésocycle-Type'!B5</f>
        <v/>
      </c>
      <c r="F10">
        <f>AVERAGE('Mésocycle-Type'!C2:C5)</f>
        <v/>
      </c>
      <c r="G10">
        <f>AVERAGE('Mésocycle-Type'!D2:D5)</f>
        <v/>
      </c>
    </row>
    <row r="11">
      <c r="A11" t="inlineStr">
        <is>
          <t>Octobre</t>
        </is>
      </c>
      <c r="B11">
        <f>'Mésocycle-Type'!B2</f>
        <v/>
      </c>
      <c r="C11">
        <f>'Mésocycle-Type'!B3</f>
        <v/>
      </c>
      <c r="D11">
        <f>'Mésocycle-Type'!B4</f>
        <v/>
      </c>
      <c r="E11">
        <f>'Mésocycle-Type'!B5</f>
        <v/>
      </c>
      <c r="F11">
        <f>AVERAGE('Mésocycle-Type'!C2:C5)</f>
        <v/>
      </c>
      <c r="G11">
        <f>AVERAGE('Mésocycle-Type'!D2:D5)</f>
        <v/>
      </c>
    </row>
    <row r="12">
      <c r="A12" t="inlineStr">
        <is>
          <t>Novembre</t>
        </is>
      </c>
      <c r="B12">
        <f>'Mésocycle-Type'!B2</f>
        <v/>
      </c>
      <c r="C12">
        <f>'Mésocycle-Type'!B3</f>
        <v/>
      </c>
      <c r="D12">
        <f>'Mésocycle-Type'!B4</f>
        <v/>
      </c>
      <c r="E12">
        <f>'Mésocycle-Type'!B5</f>
        <v/>
      </c>
      <c r="F12">
        <f>AVERAGE('Mésocycle-Type'!C2:C5)</f>
        <v/>
      </c>
      <c r="G12">
        <f>AVERAGE('Mésocycle-Type'!D2:D5)</f>
        <v/>
      </c>
    </row>
    <row r="13">
      <c r="A13" t="inlineStr">
        <is>
          <t>Décembre</t>
        </is>
      </c>
      <c r="B13">
        <f>'Mésocycle-Type'!B2</f>
        <v/>
      </c>
      <c r="C13">
        <f>'Mésocycle-Type'!B3</f>
        <v/>
      </c>
      <c r="D13">
        <f>'Mésocycle-Type'!B4</f>
        <v/>
      </c>
      <c r="E13">
        <f>'Mésocycle-Type'!B5</f>
        <v/>
      </c>
      <c r="F13">
        <f>AVERAGE('Mésocycle-Type'!C2:C5)</f>
        <v/>
      </c>
      <c r="G13">
        <f>AVERAGE('Mésocycle-Type'!D2:D5)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Semaine</t>
        </is>
      </c>
      <c r="B1" t="inlineStr">
        <is>
          <t>Focus</t>
        </is>
      </c>
      <c r="C1" t="inlineStr">
        <is>
          <t>Charge Cible (%1RM)</t>
        </is>
      </c>
      <c r="D1" t="inlineStr">
        <is>
          <t>Volume</t>
        </is>
      </c>
      <c r="E1" t="inlineStr">
        <is>
          <t>Objectif</t>
        </is>
      </c>
    </row>
    <row r="2">
      <c r="A2" t="inlineStr">
        <is>
          <t>S-4</t>
        </is>
      </c>
      <c r="B2" t="inlineStr">
        <is>
          <t>Base Strength</t>
        </is>
      </c>
      <c r="C2" t="n">
        <v>0.75</v>
      </c>
      <c r="D2" t="inlineStr">
        <is>
          <t>High</t>
        </is>
      </c>
      <c r="E2" t="inlineStr">
        <is>
          <t>Accumulation</t>
        </is>
      </c>
    </row>
    <row r="3">
      <c r="A3" t="inlineStr">
        <is>
          <t>S-3</t>
        </is>
      </c>
      <c r="B3" t="inlineStr">
        <is>
          <t>Strength+</t>
        </is>
      </c>
      <c r="C3" t="n">
        <v>0.8</v>
      </c>
      <c r="D3" t="inlineStr">
        <is>
          <t>Medium</t>
        </is>
      </c>
      <c r="E3" t="inlineStr">
        <is>
          <t>Intensification 1</t>
        </is>
      </c>
    </row>
    <row r="4">
      <c r="A4" t="inlineStr">
        <is>
          <t>S-2</t>
        </is>
      </c>
      <c r="B4" t="inlineStr">
        <is>
          <t>Power</t>
        </is>
      </c>
      <c r="C4" t="n">
        <v>0.85</v>
      </c>
      <c r="D4" t="inlineStr">
        <is>
          <t>Low-Medium</t>
        </is>
      </c>
      <c r="E4" t="inlineStr">
        <is>
          <t>Intensification 2</t>
        </is>
      </c>
    </row>
    <row r="5">
      <c r="A5" t="inlineStr">
        <is>
          <t>S-1</t>
        </is>
      </c>
      <c r="B5" t="inlineStr">
        <is>
          <t>Peak Test</t>
        </is>
      </c>
      <c r="C5" t="n">
        <v>0.9</v>
      </c>
      <c r="D5" t="inlineStr">
        <is>
          <t>Low</t>
        </is>
      </c>
      <c r="E5" t="inlineStr">
        <is>
          <t>Test Maximal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Readiness</t>
        </is>
      </c>
      <c r="B1" t="inlineStr">
        <is>
          <t>Fatigue</t>
        </is>
      </c>
      <c r="C1" t="inlineStr">
        <is>
          <t>Objectif Mésocycle</t>
        </is>
      </c>
      <c r="D1" t="inlineStr">
        <is>
          <t>Séance Recommandée</t>
        </is>
      </c>
    </row>
    <row r="2">
      <c r="A2">
        <f>AVERAGE('Lifestyle'!I2:I31)</f>
        <v/>
      </c>
      <c r="B2">
        <f>AVERAGE('Fatigue &amp; Readiness'!F2:F31)</f>
        <v/>
      </c>
      <c r="C2">
        <f>'Plan Annuel'!C2</f>
        <v/>
      </c>
      <c r="D2">
        <f>IF(A2&gt;80,IF(C2="Peak","Heavy Strength","High Skill"),IF(A2&gt;60,IF(C2="Accumulation","Medium Volume","Speed Technique"),IF(A2&gt;40,"Hypertrophy / Skill","Recovery / Mobility")))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Dernier 1RM Est</t>
        </is>
      </c>
      <c r="C1" t="inlineStr">
        <is>
          <t>Trend (SLOPE)</t>
        </is>
      </c>
      <c r="D1" t="inlineStr">
        <is>
          <t>Prévision 4 semaines</t>
        </is>
      </c>
      <c r="E1" t="inlineStr">
        <is>
          <t>Commentaire</t>
        </is>
      </c>
    </row>
    <row r="2">
      <c r="A2" t="inlineStr">
        <is>
          <t>Squat</t>
        </is>
      </c>
      <c r="B2">
        <f>LOOKUP(10^10,'Données Force'!E2:E31)</f>
        <v/>
      </c>
      <c r="C2">
        <f>SLOPE('Données Force'!E2:E31,'Données Force'!A2:A31)</f>
        <v/>
      </c>
      <c r="D2">
        <f>FORECAST.LINEAR(35,'Données Force'!E2:E31,'Données Force'!A2:A31)</f>
        <v/>
      </c>
      <c r="E2" t="inlineStr">
        <is>
          <t>Évolution Squat 1RM</t>
        </is>
      </c>
    </row>
    <row r="3">
      <c r="A3" t="inlineStr">
        <is>
          <t>Bench</t>
        </is>
      </c>
      <c r="B3">
        <f>LOOKUP(10^10,'Données Force'!J2:J31)</f>
        <v/>
      </c>
      <c r="C3">
        <f>SLOPE('Données Force'!J2:J31,'Données Force'!A2:A31)</f>
        <v/>
      </c>
      <c r="D3">
        <f>FORECAST.LINEAR(35,'Données Force'!J2:J31,'Données Force'!A2:A31)</f>
        <v/>
      </c>
      <c r="E3" t="inlineStr">
        <is>
          <t>Évolution Bench 1RM</t>
        </is>
      </c>
    </row>
    <row r="4">
      <c r="A4" t="inlineStr">
        <is>
          <t>Deadlift</t>
        </is>
      </c>
      <c r="B4">
        <f>LOOKUP(10^10,'Données Force'!M2:M31)</f>
        <v/>
      </c>
      <c r="C4">
        <f>SLOPE('Données Force'!M2:M31,'Données Force'!A2:A31)</f>
        <v/>
      </c>
      <c r="D4">
        <f>FORECAST.LINEAR(35,'Données Force'!M2:M31,'Données Force'!A2:A31)</f>
        <v/>
      </c>
      <c r="E4" t="inlineStr">
        <is>
          <t>Évolution Deadlift 1RM</t>
        </is>
      </c>
    </row>
    <row r="5">
      <c r="A5" t="inlineStr">
        <is>
          <t>Traction Lestée</t>
        </is>
      </c>
      <c r="B5">
        <f>LOOKUP(10^10,'Données Force'!R2:R31)</f>
        <v/>
      </c>
      <c r="C5">
        <f>SLOPE('Données Force'!R2:R31,'Données Force'!A2:A31)</f>
        <v/>
      </c>
      <c r="D5">
        <f>FORECAST.LINEAR(35,'Données Force'!R2:R31,'Données Force'!A2:A31)</f>
        <v/>
      </c>
      <c r="E5" t="inlineStr">
        <is>
          <t>Évolution traction lestée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Synthèse Performance + Lifestyle</t>
        </is>
      </c>
    </row>
    <row r="3">
      <c r="A3" t="inlineStr">
        <is>
          <t>Score SAH</t>
        </is>
      </c>
      <c r="B3">
        <f>'Score Athlète Hybride'!F2</f>
        <v/>
      </c>
    </row>
    <row r="5">
      <c r="A5" t="inlineStr">
        <is>
          <t>Readiness Moyen</t>
        </is>
      </c>
      <c r="B5">
        <f>AVERAGE('Lifestyle'!I2:I31)</f>
        <v/>
      </c>
    </row>
    <row r="7">
      <c r="A7" t="inlineStr">
        <is>
          <t>Fatigue Moyenne</t>
        </is>
      </c>
      <c r="B7">
        <f>AVERAGE('Fatigue &amp; Readiness'!F2:F31)</f>
        <v/>
      </c>
    </row>
    <row r="9">
      <c r="A9" t="inlineStr">
        <is>
          <t>Séance Recommandée</t>
        </is>
      </c>
      <c r="B9">
        <f>'Auto-Séance'!C2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2025-11-15T06:37:42Z</dcterms:created>
  <dcterms:modified xmlns:dcterms="http://purl.org/dc/terms/" xmlns:xsi="http://www.w3.org/2001/XMLSchema-instance" xsi:type="dcterms:W3CDTF">2025-11-15T06:37:42Z</dcterms:modified>
</cp:coreProperties>
</file>