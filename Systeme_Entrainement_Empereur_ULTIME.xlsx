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Charge RPE" sheetId="1" state="visible" r:id="rId1"/>
    <sheet xmlns:r="http://schemas.openxmlformats.org/officeDocument/2006/relationships" name="RPE_Table_1RM" sheetId="2" state="visible" r:id="rId2"/>
    <sheet xmlns:r="http://schemas.openxmlformats.org/officeDocument/2006/relationships" name="PR Automatiques" sheetId="3" state="visible" r:id="rId3"/>
    <sheet xmlns:r="http://schemas.openxmlformats.org/officeDocument/2006/relationships" name="Calculs &amp; Reco" sheetId="4" state="visible" r:id="rId4"/>
    <sheet xmlns:r="http://schemas.openxmlformats.org/officeDocument/2006/relationships" name="Fatigue &amp; Readiness" sheetId="5" state="visible" r:id="rId5"/>
    <sheet xmlns:r="http://schemas.openxmlformats.org/officeDocument/2006/relationships" name="Lifestyle" sheetId="6" state="visible" r:id="rId6"/>
    <sheet xmlns:r="http://schemas.openxmlformats.org/officeDocument/2006/relationships" name="Score Athlète Hybride" sheetId="7" state="visible" r:id="rId7"/>
    <sheet xmlns:r="http://schemas.openxmlformats.org/officeDocument/2006/relationships" name="Auto-Séance" sheetId="8" state="visible" r:id="rId8"/>
    <sheet xmlns:r="http://schemas.openxmlformats.org/officeDocument/2006/relationships" name="MicroCycle Peak" sheetId="9" state="visible" r:id="rId9"/>
    <sheet xmlns:r="http://schemas.openxmlformats.org/officeDocument/2006/relationships" name="Plan Annuel" sheetId="10" state="visible" r:id="rId10"/>
    <sheet xmlns:r="http://schemas.openxmlformats.org/officeDocument/2006/relationships" name="Mésocycle-Type" sheetId="11" state="visible" r:id="rId11"/>
    <sheet xmlns:r="http://schemas.openxmlformats.org/officeDocument/2006/relationships" name="Auto-Mesocycles" sheetId="12" state="visible" r:id="rId12"/>
    <sheet xmlns:r="http://schemas.openxmlformats.org/officeDocument/2006/relationships" name="Peak Planner" sheetId="13" state="visible" r:id="rId13"/>
    <sheet xmlns:r="http://schemas.openxmlformats.org/officeDocument/2006/relationships" name="Plan Jour Auto" sheetId="14" state="visible" r:id="rId14"/>
    <sheet xmlns:r="http://schemas.openxmlformats.org/officeDocument/2006/relationships" name="Prévisions &amp; Evolution" sheetId="15" state="visible" r:id="rId15"/>
    <sheet xmlns:r="http://schemas.openxmlformats.org/officeDocument/2006/relationships" name="Dashboard Global" sheetId="16" state="visible" r:id="rId16"/>
    <sheet xmlns:r="http://schemas.openxmlformats.org/officeDocument/2006/relationships" name="RPE_EXAM" sheetId="17" state="visible" r:id="rId17"/>
    <sheet xmlns:r="http://schemas.openxmlformats.org/officeDocument/2006/relationships" name="RPE_DATABASE" sheetId="18" state="visible" r:id="rId18"/>
    <sheet xmlns:r="http://schemas.openxmlformats.org/officeDocument/2006/relationships" name="Seance_Legs" sheetId="19" state="visible" r:id="rId19"/>
    <sheet xmlns:r="http://schemas.openxmlformats.org/officeDocument/2006/relationships" name="Seance_Push" sheetId="20" state="visible" r:id="rId20"/>
    <sheet xmlns:r="http://schemas.openxmlformats.org/officeDocument/2006/relationships" name="Seance_Pull" sheetId="21" state="visible" r:id="rId21"/>
    <sheet xmlns:r="http://schemas.openxmlformats.org/officeDocument/2006/relationships" name="Seance_Full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Séries</t>
        </is>
      </c>
      <c r="C1" t="inlineStr">
        <is>
          <t>Répétitions</t>
        </is>
      </c>
      <c r="D1" t="inlineStr">
        <is>
          <t>RPE</t>
        </is>
      </c>
      <c r="E1" t="inlineStr">
        <is>
          <t>Charge Utilisée (kg)</t>
        </is>
      </c>
      <c r="F1" t="inlineStr">
        <is>
          <t>1RM Estimée (kg)</t>
        </is>
      </c>
      <c r="G1" t="inlineStr">
        <is>
          <t>Charge Cible Auto (kg)</t>
        </is>
      </c>
    </row>
    <row r="2">
      <c r="F2">
        <f>IF(E2&gt;0,E2*(1+C2/30),"")</f>
        <v/>
      </c>
      <c r="G2">
        <f>IF(E2&gt;0,F2*CHOOSE(D2-4,0.80,0.84,0.88,0.92,0.96,1.00),"")</f>
        <v/>
      </c>
    </row>
    <row r="3">
      <c r="F3">
        <f>IF(E3&gt;0,E3*(1+C3/30),"")</f>
        <v/>
      </c>
      <c r="G3">
        <f>IF(E3&gt;0,F3*CHOOSE(D3-4,0.80,0.84,0.88,0.92,0.96,1.00),"")</f>
        <v/>
      </c>
    </row>
    <row r="4">
      <c r="F4">
        <f>IF(E4&gt;0,E4*(1+C4/30),"")</f>
        <v/>
      </c>
      <c r="G4">
        <f>IF(E4&gt;0,F4*CHOOSE(D4-4,0.80,0.84,0.88,0.92,0.96,1.00),"")</f>
        <v/>
      </c>
    </row>
    <row r="5">
      <c r="F5">
        <f>IF(E5&gt;0,E5*(1+C5/30),"")</f>
        <v/>
      </c>
      <c r="G5">
        <f>IF(E5&gt;0,F5*CHOOSE(D5-4,0.80,0.84,0.88,0.92,0.96,1.00),"")</f>
        <v/>
      </c>
    </row>
    <row r="6">
      <c r="F6">
        <f>IF(E6&gt;0,E6*(1+C6/30),"")</f>
        <v/>
      </c>
      <c r="G6">
        <f>IF(E6&gt;0,F6*CHOOSE(D6-4,0.80,0.84,0.88,0.92,0.96,1.00),"")</f>
        <v/>
      </c>
    </row>
    <row r="7">
      <c r="F7">
        <f>IF(E7&gt;0,E7*(1+C7/30),"")</f>
        <v/>
      </c>
      <c r="G7">
        <f>IF(E7&gt;0,F7*CHOOSE(D7-4,0.80,0.84,0.88,0.92,0.96,1.00),"")</f>
        <v/>
      </c>
    </row>
    <row r="8">
      <c r="F8">
        <f>IF(E8&gt;0,E8*(1+C8/30),"")</f>
        <v/>
      </c>
      <c r="G8">
        <f>IF(E8&gt;0,F8*CHOOSE(D8-4,0.80,0.84,0.88,0.92,0.96,1.00),"")</f>
        <v/>
      </c>
    </row>
    <row r="9">
      <c r="F9">
        <f>IF(E9&gt;0,E9*(1+C9/30),"")</f>
        <v/>
      </c>
      <c r="G9">
        <f>IF(E9&gt;0,F9*CHOOSE(D9-4,0.80,0.84,0.88,0.92,0.96,1.00),"")</f>
        <v/>
      </c>
    </row>
    <row r="10">
      <c r="F10">
        <f>IF(E10&gt;0,E10*(1+C10/30),"")</f>
        <v/>
      </c>
      <c r="G10">
        <f>IF(E10&gt;0,F10*CHOOSE(D10-4,0.80,0.84,0.88,0.92,0.96,1.00),"")</f>
        <v/>
      </c>
    </row>
    <row r="11">
      <c r="F11">
        <f>IF(E11&gt;0,E11*(1+C11/30),"")</f>
        <v/>
      </c>
      <c r="G11">
        <f>IF(E11&gt;0,F11*CHOOSE(D11-4,0.80,0.84,0.88,0.92,0.96,1.00),"")</f>
        <v/>
      </c>
    </row>
    <row r="12">
      <c r="F12">
        <f>IF(E12&gt;0,E12*(1+C12/30),"")</f>
        <v/>
      </c>
      <c r="G12">
        <f>IF(E12&gt;0,F12*CHOOSE(D12-4,0.80,0.84,0.88,0.92,0.96,1.00),"")</f>
        <v/>
      </c>
    </row>
    <row r="13">
      <c r="F13">
        <f>IF(E13&gt;0,E13*(1+C13/30),"")</f>
        <v/>
      </c>
      <c r="G13">
        <f>IF(E13&gt;0,F13*CHOOSE(D13-4,0.80,0.84,0.88,0.92,0.96,1.00),"")</f>
        <v/>
      </c>
    </row>
    <row r="14">
      <c r="F14">
        <f>IF(E14&gt;0,E14*(1+C14/30),"")</f>
        <v/>
      </c>
      <c r="G14">
        <f>IF(E14&gt;0,F14*CHOOSE(D14-4,0.80,0.84,0.88,0.92,0.96,1.00),"")</f>
        <v/>
      </c>
    </row>
    <row r="15">
      <c r="F15">
        <f>IF(E15&gt;0,E15*(1+C15/30),"")</f>
        <v/>
      </c>
      <c r="G15">
        <f>IF(E15&gt;0,F15*CHOOSE(D15-4,0.80,0.84,0.88,0.92,0.96,1.00),"")</f>
        <v/>
      </c>
    </row>
    <row r="16">
      <c r="F16">
        <f>IF(E16&gt;0,E16*(1+C16/30),"")</f>
        <v/>
      </c>
      <c r="G16">
        <f>IF(E16&gt;0,F16*CHOOSE(D16-4,0.80,0.84,0.88,0.92,0.96,1.00),"")</f>
        <v/>
      </c>
    </row>
    <row r="17">
      <c r="F17">
        <f>IF(E17&gt;0,E17*(1+C17/30),"")</f>
        <v/>
      </c>
      <c r="G17">
        <f>IF(E17&gt;0,F17*CHOOSE(D17-4,0.80,0.84,0.88,0.92,0.96,1.00),"")</f>
        <v/>
      </c>
    </row>
    <row r="18">
      <c r="F18">
        <f>IF(E18&gt;0,E18*(1+C18/30),"")</f>
        <v/>
      </c>
      <c r="G18">
        <f>IF(E18&gt;0,F18*CHOOSE(D18-4,0.80,0.84,0.88,0.92,0.96,1.00),"")</f>
        <v/>
      </c>
    </row>
    <row r="19">
      <c r="F19">
        <f>IF(E19&gt;0,E19*(1+C19/30),"")</f>
        <v/>
      </c>
      <c r="G19">
        <f>IF(E19&gt;0,F19*CHOOSE(D19-4,0.80,0.84,0.88,0.92,0.96,1.00),"")</f>
        <v/>
      </c>
    </row>
    <row r="20">
      <c r="F20">
        <f>IF(E20&gt;0,E20*(1+C20/30),"")</f>
        <v/>
      </c>
      <c r="G20">
        <f>IF(E20&gt;0,F20*CHOOSE(D20-4,0.80,0.84,0.88,0.92,0.96,1.00),"")</f>
        <v/>
      </c>
    </row>
    <row r="21">
      <c r="F21">
        <f>IF(E21&gt;0,E21*(1+C21/30),"")</f>
        <v/>
      </c>
      <c r="G21">
        <f>IF(E21&gt;0,F21*CHOOSE(D21-4,0.80,0.84,0.88,0.92,0.96,1.00),"")</f>
        <v/>
      </c>
    </row>
    <row r="22">
      <c r="F22">
        <f>IF(E22&gt;0,E22*(1+C22/30),"")</f>
        <v/>
      </c>
      <c r="G22">
        <f>IF(E22&gt;0,F22*CHOOSE(D22-4,0.80,0.84,0.88,0.92,0.96,1.00),"")</f>
        <v/>
      </c>
    </row>
    <row r="23">
      <c r="F23">
        <f>IF(E23&gt;0,E23*(1+C23/30),"")</f>
        <v/>
      </c>
      <c r="G23">
        <f>IF(E23&gt;0,F23*CHOOSE(D23-4,0.80,0.84,0.88,0.92,0.96,1.00),"")</f>
        <v/>
      </c>
    </row>
    <row r="24">
      <c r="F24">
        <f>IF(E24&gt;0,E24*(1+C24/30),"")</f>
        <v/>
      </c>
      <c r="G24">
        <f>IF(E24&gt;0,F24*CHOOSE(D24-4,0.80,0.84,0.88,0.92,0.96,1.00),"")</f>
        <v/>
      </c>
    </row>
    <row r="25">
      <c r="F25">
        <f>IF(E25&gt;0,E25*(1+C25/30),"")</f>
        <v/>
      </c>
      <c r="G25">
        <f>IF(E25&gt;0,F25*CHOOSE(D25-4,0.80,0.84,0.88,0.92,0.96,1.00),"")</f>
        <v/>
      </c>
    </row>
    <row r="26">
      <c r="F26">
        <f>IF(E26&gt;0,E26*(1+C26/30),"")</f>
        <v/>
      </c>
      <c r="G26">
        <f>IF(E26&gt;0,F26*CHOOSE(D26-4,0.80,0.84,0.88,0.92,0.96,1.00),"")</f>
        <v/>
      </c>
    </row>
    <row r="27">
      <c r="F27">
        <f>IF(E27&gt;0,E27*(1+C27/30),"")</f>
        <v/>
      </c>
      <c r="G27">
        <f>IF(E27&gt;0,F27*CHOOSE(D27-4,0.80,0.84,0.88,0.92,0.96,1.00),"")</f>
        <v/>
      </c>
    </row>
    <row r="28">
      <c r="F28">
        <f>IF(E28&gt;0,E28*(1+C28/30),"")</f>
        <v/>
      </c>
      <c r="G28">
        <f>IF(E28&gt;0,F28*CHOOSE(D28-4,0.80,0.84,0.88,0.92,0.96,1.00),"")</f>
        <v/>
      </c>
    </row>
    <row r="29">
      <c r="F29">
        <f>IF(E29&gt;0,E29*(1+C29/30),"")</f>
        <v/>
      </c>
      <c r="G29">
        <f>IF(E29&gt;0,F29*CHOOSE(D29-4,0.80,0.84,0.88,0.92,0.96,1.00),"")</f>
        <v/>
      </c>
    </row>
    <row r="30">
      <c r="F30">
        <f>IF(E30&gt;0,E30*(1+C30/30),"")</f>
        <v/>
      </c>
      <c r="G30">
        <f>IF(E30&gt;0,F30*CHOOSE(D30-4,0.80,0.84,0.88,0.92,0.96,1.00),"")</f>
        <v/>
      </c>
    </row>
    <row r="31">
      <c r="F31">
        <f>IF(E31&gt;0,E31*(1+C31/30),"")</f>
        <v/>
      </c>
      <c r="G31">
        <f>IF(E31&gt;0,F31*CHOOSE(D31-4,0.80,0.84,0.88,0.92,0.96,1.00),"")</f>
        <v/>
      </c>
    </row>
    <row r="32">
      <c r="F32">
        <f>IF(E32&gt;0,E32*(1+C32/30),"")</f>
        <v/>
      </c>
      <c r="G32">
        <f>IF(E32&gt;0,F32*CHOOSE(D32-4,0.80,0.84,0.88,0.92,0.96,1.00),"")</f>
        <v/>
      </c>
    </row>
    <row r="33">
      <c r="F33">
        <f>IF(E33&gt;0,E33*(1+C33/30),"")</f>
        <v/>
      </c>
      <c r="G33">
        <f>IF(E33&gt;0,F33*CHOOSE(D33-4,0.80,0.84,0.88,0.92,0.96,1.00),"")</f>
        <v/>
      </c>
    </row>
    <row r="34">
      <c r="F34">
        <f>IF(E34&gt;0,E34*(1+C34/30),"")</f>
        <v/>
      </c>
      <c r="G34">
        <f>IF(E34&gt;0,F34*CHOOSE(D34-4,0.80,0.84,0.88,0.92,0.96,1.00),"")</f>
        <v/>
      </c>
    </row>
    <row r="35">
      <c r="F35">
        <f>IF(E35&gt;0,E35*(1+C35/30),"")</f>
        <v/>
      </c>
      <c r="G35">
        <f>IF(E35&gt;0,F35*CHOOSE(D35-4,0.80,0.84,0.88,0.92,0.96,1.00),"")</f>
        <v/>
      </c>
    </row>
    <row r="36">
      <c r="F36">
        <f>IF(E36&gt;0,E36*(1+C36/30),"")</f>
        <v/>
      </c>
      <c r="G36">
        <f>IF(E36&gt;0,F36*CHOOSE(D36-4,0.80,0.84,0.88,0.92,0.96,1.00),"")</f>
        <v/>
      </c>
    </row>
    <row r="37">
      <c r="F37">
        <f>IF(E37&gt;0,E37*(1+C37/30),"")</f>
        <v/>
      </c>
      <c r="G37">
        <f>IF(E37&gt;0,F37*CHOOSE(D37-4,0.80,0.84,0.88,0.92,0.96,1.00),"")</f>
        <v/>
      </c>
    </row>
    <row r="38">
      <c r="F38">
        <f>IF(E38&gt;0,E38*(1+C38/30),"")</f>
        <v/>
      </c>
      <c r="G38">
        <f>IF(E38&gt;0,F38*CHOOSE(D38-4,0.80,0.84,0.88,0.92,0.96,1.00),"")</f>
        <v/>
      </c>
    </row>
    <row r="39">
      <c r="F39">
        <f>IF(E39&gt;0,E39*(1+C39/30),"")</f>
        <v/>
      </c>
      <c r="G39">
        <f>IF(E39&gt;0,F39*CHOOSE(D39-4,0.80,0.84,0.88,0.92,0.96,1.00),"")</f>
        <v/>
      </c>
    </row>
    <row r="40">
      <c r="F40">
        <f>IF(E40&gt;0,E40*(1+C40/30),"")</f>
        <v/>
      </c>
      <c r="G40">
        <f>IF(E40&gt;0,F40*CHOOSE(D40-4,0.80,0.84,0.88,0.92,0.96,1.00),"")</f>
        <v/>
      </c>
    </row>
    <row r="41">
      <c r="F41">
        <f>IF(E41&gt;0,E41*(1+C41/30),"")</f>
        <v/>
      </c>
      <c r="G41">
        <f>IF(E41&gt;0,F41*CHOOSE(D41-4,0.80,0.84,0.88,0.92,0.96,1.00),"")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1RM Réf (kg)</t>
        </is>
      </c>
      <c r="C1" t="inlineStr">
        <is>
          <t>RPE</t>
        </is>
      </c>
      <c r="D1" t="inlineStr">
        <is>
          <t>Charge Cible (kg)</t>
        </is>
      </c>
    </row>
    <row r="2">
      <c r="A2" t="inlineStr">
        <is>
          <t>Front Squat</t>
        </is>
      </c>
      <c r="C2" t="n">
        <v>5</v>
      </c>
      <c r="D2">
        <f>IF(B2&gt;0, B2*CHOOSE(C2-4,0.80,0.84,0.88,0.92,0.96,1.00),"")</f>
        <v/>
      </c>
    </row>
    <row r="3">
      <c r="A3" t="inlineStr">
        <is>
          <t>Front Squat</t>
        </is>
      </c>
      <c r="C3" t="n">
        <v>6</v>
      </c>
      <c r="D3">
        <f>IF(B3&gt;0, B3*CHOOSE(C3-4,0.80,0.84,0.88,0.92,0.96,1.00),"")</f>
        <v/>
      </c>
    </row>
    <row r="4">
      <c r="A4" t="inlineStr">
        <is>
          <t>Front Squat</t>
        </is>
      </c>
      <c r="C4" t="n">
        <v>7</v>
      </c>
      <c r="D4">
        <f>IF(B4&gt;0, B4*CHOOSE(C4-4,0.80,0.84,0.88,0.92,0.96,1.00),"")</f>
        <v/>
      </c>
    </row>
    <row r="5">
      <c r="A5" t="inlineStr">
        <is>
          <t>Front Squat</t>
        </is>
      </c>
      <c r="C5" t="n">
        <v>8</v>
      </c>
      <c r="D5">
        <f>IF(B5&gt;0, B5*CHOOSE(C5-4,0.80,0.84,0.88,0.92,0.96,1.00),"")</f>
        <v/>
      </c>
    </row>
    <row r="6">
      <c r="A6" t="inlineStr">
        <is>
          <t>Front Squat</t>
        </is>
      </c>
      <c r="C6" t="n">
        <v>9</v>
      </c>
      <c r="D6">
        <f>IF(B6&gt;0, B6*CHOOSE(C6-4,0.80,0.84,0.88,0.92,0.96,1.00),"")</f>
        <v/>
      </c>
    </row>
    <row r="7">
      <c r="A7" t="inlineStr">
        <is>
          <t>Front Squat</t>
        </is>
      </c>
      <c r="C7" t="n">
        <v>10</v>
      </c>
      <c r="D7">
        <f>IF(B7&gt;0, B7*CHOOSE(C7-4,0.80,0.84,0.88,0.92,0.96,1.00),"")</f>
        <v/>
      </c>
    </row>
    <row r="8">
      <c r="A8" t="inlineStr">
        <is>
          <t>Back Squat</t>
        </is>
      </c>
      <c r="C8" t="n">
        <v>5</v>
      </c>
      <c r="D8">
        <f>IF(B8&gt;0, B8*CHOOSE(C8-4,0.80,0.84,0.88,0.92,0.96,1.00),"")</f>
        <v/>
      </c>
    </row>
    <row r="9">
      <c r="A9" t="inlineStr">
        <is>
          <t>Back Squat</t>
        </is>
      </c>
      <c r="C9" t="n">
        <v>6</v>
      </c>
      <c r="D9">
        <f>IF(B9&gt;0, B9*CHOOSE(C9-4,0.80,0.84,0.88,0.92,0.96,1.00),"")</f>
        <v/>
      </c>
    </row>
    <row r="10">
      <c r="A10" t="inlineStr">
        <is>
          <t>Back Squat</t>
        </is>
      </c>
      <c r="C10" t="n">
        <v>7</v>
      </c>
      <c r="D10">
        <f>IF(B10&gt;0, B10*CHOOSE(C10-4,0.80,0.84,0.88,0.92,0.96,1.00),"")</f>
        <v/>
      </c>
    </row>
    <row r="11">
      <c r="A11" t="inlineStr">
        <is>
          <t>Back Squat</t>
        </is>
      </c>
      <c r="C11" t="n">
        <v>8</v>
      </c>
      <c r="D11">
        <f>IF(B11&gt;0, B11*CHOOSE(C11-4,0.80,0.84,0.88,0.92,0.96,1.00),"")</f>
        <v/>
      </c>
    </row>
    <row r="12">
      <c r="A12" t="inlineStr">
        <is>
          <t>Back Squat</t>
        </is>
      </c>
      <c r="C12" t="n">
        <v>9</v>
      </c>
      <c r="D12">
        <f>IF(B12&gt;0, B12*CHOOSE(C12-4,0.80,0.84,0.88,0.92,0.96,1.00),"")</f>
        <v/>
      </c>
    </row>
    <row r="13">
      <c r="A13" t="inlineStr">
        <is>
          <t>Back Squat</t>
        </is>
      </c>
      <c r="C13" t="n">
        <v>10</v>
      </c>
      <c r="D13">
        <f>IF(B13&gt;0, B13*CHOOSE(C13-4,0.80,0.84,0.88,0.92,0.96,1.00),"")</f>
        <v/>
      </c>
    </row>
    <row r="14">
      <c r="A14" t="inlineStr">
        <is>
          <t>Snatch Grip Deadlift</t>
        </is>
      </c>
      <c r="C14" t="n">
        <v>5</v>
      </c>
      <c r="D14">
        <f>IF(B14&gt;0, B14*CHOOSE(C14-4,0.80,0.84,0.88,0.92,0.96,1.00),"")</f>
        <v/>
      </c>
    </row>
    <row r="15">
      <c r="A15" t="inlineStr">
        <is>
          <t>Snatch Grip Deadlift</t>
        </is>
      </c>
      <c r="C15" t="n">
        <v>6</v>
      </c>
      <c r="D15">
        <f>IF(B15&gt;0, B15*CHOOSE(C15-4,0.80,0.84,0.88,0.92,0.96,1.00),"")</f>
        <v/>
      </c>
    </row>
    <row r="16">
      <c r="A16" t="inlineStr">
        <is>
          <t>Snatch Grip Deadlift</t>
        </is>
      </c>
      <c r="C16" t="n">
        <v>7</v>
      </c>
      <c r="D16">
        <f>IF(B16&gt;0, B16*CHOOSE(C16-4,0.80,0.84,0.88,0.92,0.96,1.00),"")</f>
        <v/>
      </c>
    </row>
    <row r="17">
      <c r="A17" t="inlineStr">
        <is>
          <t>Snatch Grip Deadlift</t>
        </is>
      </c>
      <c r="C17" t="n">
        <v>8</v>
      </c>
      <c r="D17">
        <f>IF(B17&gt;0, B17*CHOOSE(C17-4,0.80,0.84,0.88,0.92,0.96,1.00),"")</f>
        <v/>
      </c>
    </row>
    <row r="18">
      <c r="A18" t="inlineStr">
        <is>
          <t>Snatch Grip Deadlift</t>
        </is>
      </c>
      <c r="C18" t="n">
        <v>9</v>
      </c>
      <c r="D18">
        <f>IF(B18&gt;0, B18*CHOOSE(C18-4,0.80,0.84,0.88,0.92,0.96,1.00),"")</f>
        <v/>
      </c>
    </row>
    <row r="19">
      <c r="A19" t="inlineStr">
        <is>
          <t>Snatch Grip Deadlift</t>
        </is>
      </c>
      <c r="C19" t="n">
        <v>10</v>
      </c>
      <c r="D19">
        <f>IF(B19&gt;0, B19*CHOOSE(C19-4,0.80,0.84,0.88,0.92,0.96,1.00),"")</f>
        <v/>
      </c>
    </row>
    <row r="20">
      <c r="A20" t="inlineStr">
        <is>
          <t>Bulgarian Split Squat</t>
        </is>
      </c>
      <c r="C20" t="n">
        <v>5</v>
      </c>
      <c r="D20">
        <f>IF(B20&gt;0, B20*CHOOSE(C20-4,0.80,0.84,0.88,0.92,0.96,1.00),"")</f>
        <v/>
      </c>
    </row>
    <row r="21">
      <c r="A21" t="inlineStr">
        <is>
          <t>Bulgarian Split Squat</t>
        </is>
      </c>
      <c r="C21" t="n">
        <v>6</v>
      </c>
      <c r="D21">
        <f>IF(B21&gt;0, B21*CHOOSE(C21-4,0.80,0.84,0.88,0.92,0.96,1.00),"")</f>
        <v/>
      </c>
    </row>
    <row r="22">
      <c r="A22" t="inlineStr">
        <is>
          <t>Bulgarian Split Squat</t>
        </is>
      </c>
      <c r="C22" t="n">
        <v>7</v>
      </c>
      <c r="D22">
        <f>IF(B22&gt;0, B22*CHOOSE(C22-4,0.80,0.84,0.88,0.92,0.96,1.00),"")</f>
        <v/>
      </c>
    </row>
    <row r="23">
      <c r="A23" t="inlineStr">
        <is>
          <t>Bulgarian Split Squat</t>
        </is>
      </c>
      <c r="C23" t="n">
        <v>8</v>
      </c>
      <c r="D23">
        <f>IF(B23&gt;0, B23*CHOOSE(C23-4,0.80,0.84,0.88,0.92,0.96,1.00),"")</f>
        <v/>
      </c>
    </row>
    <row r="24">
      <c r="A24" t="inlineStr">
        <is>
          <t>Bulgarian Split Squat</t>
        </is>
      </c>
      <c r="C24" t="n">
        <v>9</v>
      </c>
      <c r="D24">
        <f>IF(B24&gt;0, B24*CHOOSE(C24-4,0.80,0.84,0.88,0.92,0.96,1.00),"")</f>
        <v/>
      </c>
    </row>
    <row r="25">
      <c r="A25" t="inlineStr">
        <is>
          <t>Bulgarian Split Squat</t>
        </is>
      </c>
      <c r="C25" t="n">
        <v>10</v>
      </c>
      <c r="D25">
        <f>IF(B25&gt;0, B25*CHOOSE(C25-4,0.80,0.84,0.88,0.92,0.96,1.00),"")</f>
        <v/>
      </c>
    </row>
    <row r="26">
      <c r="A26" t="inlineStr">
        <is>
          <t>Hack Squat</t>
        </is>
      </c>
      <c r="C26" t="n">
        <v>5</v>
      </c>
      <c r="D26">
        <f>IF(B26&gt;0, B26*CHOOSE(C26-4,0.80,0.84,0.88,0.92,0.96,1.00),"")</f>
        <v/>
      </c>
    </row>
    <row r="27">
      <c r="A27" t="inlineStr">
        <is>
          <t>Hack Squat</t>
        </is>
      </c>
      <c r="C27" t="n">
        <v>6</v>
      </c>
      <c r="D27">
        <f>IF(B27&gt;0, B27*CHOOSE(C27-4,0.80,0.84,0.88,0.92,0.96,1.00),"")</f>
        <v/>
      </c>
    </row>
    <row r="28">
      <c r="A28" t="inlineStr">
        <is>
          <t>Hack Squat</t>
        </is>
      </c>
      <c r="C28" t="n">
        <v>7</v>
      </c>
      <c r="D28">
        <f>IF(B28&gt;0, B28*CHOOSE(C28-4,0.80,0.84,0.88,0.92,0.96,1.00),"")</f>
        <v/>
      </c>
    </row>
    <row r="29">
      <c r="A29" t="inlineStr">
        <is>
          <t>Hack Squat</t>
        </is>
      </c>
      <c r="C29" t="n">
        <v>8</v>
      </c>
      <c r="D29">
        <f>IF(B29&gt;0, B29*CHOOSE(C29-4,0.80,0.84,0.88,0.92,0.96,1.00),"")</f>
        <v/>
      </c>
    </row>
    <row r="30">
      <c r="A30" t="inlineStr">
        <is>
          <t>Hack Squat</t>
        </is>
      </c>
      <c r="C30" t="n">
        <v>9</v>
      </c>
      <c r="D30">
        <f>IF(B30&gt;0, B30*CHOOSE(C30-4,0.80,0.84,0.88,0.92,0.96,1.00),"")</f>
        <v/>
      </c>
    </row>
    <row r="31">
      <c r="A31" t="inlineStr">
        <is>
          <t>Hack Squat</t>
        </is>
      </c>
      <c r="C31" t="n">
        <v>10</v>
      </c>
      <c r="D31">
        <f>IF(B31&gt;0, B31*CHOOSE(C31-4,0.80,0.84,0.88,0.92,0.96,1.00),"")</f>
        <v/>
      </c>
    </row>
    <row r="32">
      <c r="A32" t="inlineStr">
        <is>
          <t>Leg Press</t>
        </is>
      </c>
      <c r="C32" t="n">
        <v>5</v>
      </c>
      <c r="D32">
        <f>IF(B32&gt;0, B32*CHOOSE(C32-4,0.80,0.84,0.88,0.92,0.96,1.00),"")</f>
        <v/>
      </c>
    </row>
    <row r="33">
      <c r="A33" t="inlineStr">
        <is>
          <t>Leg Press</t>
        </is>
      </c>
      <c r="C33" t="n">
        <v>6</v>
      </c>
      <c r="D33">
        <f>IF(B33&gt;0, B33*CHOOSE(C33-4,0.80,0.84,0.88,0.92,0.96,1.00),"")</f>
        <v/>
      </c>
    </row>
    <row r="34">
      <c r="A34" t="inlineStr">
        <is>
          <t>Leg Press</t>
        </is>
      </c>
      <c r="C34" t="n">
        <v>7</v>
      </c>
      <c r="D34">
        <f>IF(B34&gt;0, B34*CHOOSE(C34-4,0.80,0.84,0.88,0.92,0.96,1.00),"")</f>
        <v/>
      </c>
    </row>
    <row r="35">
      <c r="A35" t="inlineStr">
        <is>
          <t>Leg Press</t>
        </is>
      </c>
      <c r="C35" t="n">
        <v>8</v>
      </c>
      <c r="D35">
        <f>IF(B35&gt;0, B35*CHOOSE(C35-4,0.80,0.84,0.88,0.92,0.96,1.00),"")</f>
        <v/>
      </c>
    </row>
    <row r="36">
      <c r="A36" t="inlineStr">
        <is>
          <t>Leg Press</t>
        </is>
      </c>
      <c r="C36" t="n">
        <v>9</v>
      </c>
      <c r="D36">
        <f>IF(B36&gt;0, B36*CHOOSE(C36-4,0.80,0.84,0.88,0.92,0.96,1.00),"")</f>
        <v/>
      </c>
    </row>
    <row r="37">
      <c r="A37" t="inlineStr">
        <is>
          <t>Leg Press</t>
        </is>
      </c>
      <c r="C37" t="n">
        <v>10</v>
      </c>
      <c r="D37">
        <f>IF(B37&gt;0, B37*CHOOSE(C37-4,0.80,0.84,0.88,0.92,0.96,1.00),"")</f>
        <v/>
      </c>
    </row>
    <row r="38">
      <c r="A38" t="inlineStr">
        <is>
          <t>Leg Extension</t>
        </is>
      </c>
      <c r="C38" t="n">
        <v>5</v>
      </c>
      <c r="D38">
        <f>IF(B38&gt;0, B38*CHOOSE(C38-4,0.80,0.84,0.88,0.92,0.96,1.00),"")</f>
        <v/>
      </c>
    </row>
    <row r="39">
      <c r="A39" t="inlineStr">
        <is>
          <t>Leg Extension</t>
        </is>
      </c>
      <c r="C39" t="n">
        <v>6</v>
      </c>
      <c r="D39">
        <f>IF(B39&gt;0, B39*CHOOSE(C39-4,0.80,0.84,0.88,0.92,0.96,1.00),"")</f>
        <v/>
      </c>
    </row>
    <row r="40">
      <c r="A40" t="inlineStr">
        <is>
          <t>Leg Extension</t>
        </is>
      </c>
      <c r="C40" t="n">
        <v>7</v>
      </c>
      <c r="D40">
        <f>IF(B40&gt;0, B40*CHOOSE(C40-4,0.80,0.84,0.88,0.92,0.96,1.00),"")</f>
        <v/>
      </c>
    </row>
    <row r="41">
      <c r="A41" t="inlineStr">
        <is>
          <t>Leg Extension</t>
        </is>
      </c>
      <c r="C41" t="n">
        <v>8</v>
      </c>
      <c r="D41">
        <f>IF(B41&gt;0, B41*CHOOSE(C41-4,0.80,0.84,0.88,0.92,0.96,1.00),"")</f>
        <v/>
      </c>
    </row>
    <row r="42">
      <c r="A42" t="inlineStr">
        <is>
          <t>Leg Extension</t>
        </is>
      </c>
      <c r="C42" t="n">
        <v>9</v>
      </c>
      <c r="D42">
        <f>IF(B42&gt;0, B42*CHOOSE(C42-4,0.80,0.84,0.88,0.92,0.96,1.00),"")</f>
        <v/>
      </c>
    </row>
    <row r="43">
      <c r="A43" t="inlineStr">
        <is>
          <t>Leg Extension</t>
        </is>
      </c>
      <c r="C43" t="n">
        <v>10</v>
      </c>
      <c r="D43">
        <f>IF(B43&gt;0, B43*CHOOSE(C43-4,0.80,0.84,0.88,0.92,0.96,1.00),"")</f>
        <v/>
      </c>
    </row>
    <row r="44">
      <c r="A44" t="inlineStr">
        <is>
          <t>Leg Curl</t>
        </is>
      </c>
      <c r="C44" t="n">
        <v>5</v>
      </c>
      <c r="D44">
        <f>IF(B44&gt;0, B44*CHOOSE(C44-4,0.80,0.84,0.88,0.92,0.96,1.00),"")</f>
        <v/>
      </c>
    </row>
    <row r="45">
      <c r="A45" t="inlineStr">
        <is>
          <t>Leg Curl</t>
        </is>
      </c>
      <c r="C45" t="n">
        <v>6</v>
      </c>
      <c r="D45">
        <f>IF(B45&gt;0, B45*CHOOSE(C45-4,0.80,0.84,0.88,0.92,0.96,1.00),"")</f>
        <v/>
      </c>
    </row>
    <row r="46">
      <c r="A46" t="inlineStr">
        <is>
          <t>Leg Curl</t>
        </is>
      </c>
      <c r="C46" t="n">
        <v>7</v>
      </c>
      <c r="D46">
        <f>IF(B46&gt;0, B46*CHOOSE(C46-4,0.80,0.84,0.88,0.92,0.96,1.00),"")</f>
        <v/>
      </c>
    </row>
    <row r="47">
      <c r="A47" t="inlineStr">
        <is>
          <t>Leg Curl</t>
        </is>
      </c>
      <c r="C47" t="n">
        <v>8</v>
      </c>
      <c r="D47">
        <f>IF(B47&gt;0, B47*CHOOSE(C47-4,0.80,0.84,0.88,0.92,0.96,1.00),"")</f>
        <v/>
      </c>
    </row>
    <row r="48">
      <c r="A48" t="inlineStr">
        <is>
          <t>Leg Curl</t>
        </is>
      </c>
      <c r="C48" t="n">
        <v>9</v>
      </c>
      <c r="D48">
        <f>IF(B48&gt;0, B48*CHOOSE(C48-4,0.80,0.84,0.88,0.92,0.96,1.00),"")</f>
        <v/>
      </c>
    </row>
    <row r="49">
      <c r="A49" t="inlineStr">
        <is>
          <t>Leg Curl</t>
        </is>
      </c>
      <c r="C49" t="n">
        <v>10</v>
      </c>
      <c r="D49">
        <f>IF(B49&gt;0, B49*CHOOSE(C49-4,0.80,0.84,0.88,0.92,0.96,1.00),"")</f>
        <v/>
      </c>
    </row>
    <row r="50">
      <c r="A50" t="inlineStr">
        <is>
          <t>Calf Raise</t>
        </is>
      </c>
      <c r="C50" t="n">
        <v>5</v>
      </c>
      <c r="D50">
        <f>IF(B50&gt;0, B50*CHOOSE(C50-4,0.80,0.84,0.88,0.92,0.96,1.00),"")</f>
        <v/>
      </c>
    </row>
    <row r="51">
      <c r="A51" t="inlineStr">
        <is>
          <t>Calf Raise</t>
        </is>
      </c>
      <c r="C51" t="n">
        <v>6</v>
      </c>
      <c r="D51">
        <f>IF(B51&gt;0, B51*CHOOSE(C51-4,0.80,0.84,0.88,0.92,0.96,1.00),"")</f>
        <v/>
      </c>
    </row>
    <row r="52">
      <c r="A52" t="inlineStr">
        <is>
          <t>Calf Raise</t>
        </is>
      </c>
      <c r="C52" t="n">
        <v>7</v>
      </c>
      <c r="D52">
        <f>IF(B52&gt;0, B52*CHOOSE(C52-4,0.80,0.84,0.88,0.92,0.96,1.00),"")</f>
        <v/>
      </c>
    </row>
    <row r="53">
      <c r="A53" t="inlineStr">
        <is>
          <t>Calf Raise</t>
        </is>
      </c>
      <c r="C53" t="n">
        <v>8</v>
      </c>
      <c r="D53">
        <f>IF(B53&gt;0, B53*CHOOSE(C53-4,0.80,0.84,0.88,0.92,0.96,1.00),"")</f>
        <v/>
      </c>
    </row>
    <row r="54">
      <c r="A54" t="inlineStr">
        <is>
          <t>Calf Raise</t>
        </is>
      </c>
      <c r="C54" t="n">
        <v>9</v>
      </c>
      <c r="D54">
        <f>IF(B54&gt;0, B54*CHOOSE(C54-4,0.80,0.84,0.88,0.92,0.96,1.00),"")</f>
        <v/>
      </c>
    </row>
    <row r="55">
      <c r="A55" t="inlineStr">
        <is>
          <t>Calf Raise</t>
        </is>
      </c>
      <c r="C55" t="n">
        <v>10</v>
      </c>
      <c r="D55">
        <f>IF(B55&gt;0, B55*CHOOSE(C55-4,0.80,0.84,0.88,0.92,0.96,1.00),"")</f>
        <v/>
      </c>
    </row>
    <row r="56">
      <c r="A56" t="inlineStr">
        <is>
          <t>Bench Press</t>
        </is>
      </c>
      <c r="C56" t="n">
        <v>5</v>
      </c>
      <c r="D56">
        <f>IF(B56&gt;0, B56*CHOOSE(C56-4,0.80,0.84,0.88,0.92,0.96,1.00),"")</f>
        <v/>
      </c>
    </row>
    <row r="57">
      <c r="A57" t="inlineStr">
        <is>
          <t>Bench Press</t>
        </is>
      </c>
      <c r="C57" t="n">
        <v>6</v>
      </c>
      <c r="D57">
        <f>IF(B57&gt;0, B57*CHOOSE(C57-4,0.80,0.84,0.88,0.92,0.96,1.00),"")</f>
        <v/>
      </c>
    </row>
    <row r="58">
      <c r="A58" t="inlineStr">
        <is>
          <t>Bench Press</t>
        </is>
      </c>
      <c r="C58" t="n">
        <v>7</v>
      </c>
      <c r="D58">
        <f>IF(B58&gt;0, B58*CHOOSE(C58-4,0.80,0.84,0.88,0.92,0.96,1.00),"")</f>
        <v/>
      </c>
    </row>
    <row r="59">
      <c r="A59" t="inlineStr">
        <is>
          <t>Bench Press</t>
        </is>
      </c>
      <c r="C59" t="n">
        <v>8</v>
      </c>
      <c r="D59">
        <f>IF(B59&gt;0, B59*CHOOSE(C59-4,0.80,0.84,0.88,0.92,0.96,1.00),"")</f>
        <v/>
      </c>
    </row>
    <row r="60">
      <c r="A60" t="inlineStr">
        <is>
          <t>Bench Press</t>
        </is>
      </c>
      <c r="C60" t="n">
        <v>9</v>
      </c>
      <c r="D60">
        <f>IF(B60&gt;0, B60*CHOOSE(C60-4,0.80,0.84,0.88,0.92,0.96,1.00),"")</f>
        <v/>
      </c>
    </row>
    <row r="61">
      <c r="A61" t="inlineStr">
        <is>
          <t>Bench Press</t>
        </is>
      </c>
      <c r="C61" t="n">
        <v>10</v>
      </c>
      <c r="D61">
        <f>IF(B61&gt;0, B61*CHOOSE(C61-4,0.80,0.84,0.88,0.92,0.96,1.00),"")</f>
        <v/>
      </c>
    </row>
    <row r="62">
      <c r="A62" t="inlineStr">
        <is>
          <t>Weighted Push-ups</t>
        </is>
      </c>
      <c r="C62" t="n">
        <v>5</v>
      </c>
      <c r="D62">
        <f>IF(B62&gt;0, B62*CHOOSE(C62-4,0.80,0.84,0.88,0.92,0.96,1.00),"")</f>
        <v/>
      </c>
    </row>
    <row r="63">
      <c r="A63" t="inlineStr">
        <is>
          <t>Weighted Push-ups</t>
        </is>
      </c>
      <c r="C63" t="n">
        <v>6</v>
      </c>
      <c r="D63">
        <f>IF(B63&gt;0, B63*CHOOSE(C63-4,0.80,0.84,0.88,0.92,0.96,1.00),"")</f>
        <v/>
      </c>
    </row>
    <row r="64">
      <c r="A64" t="inlineStr">
        <is>
          <t>Weighted Push-ups</t>
        </is>
      </c>
      <c r="C64" t="n">
        <v>7</v>
      </c>
      <c r="D64">
        <f>IF(B64&gt;0, B64*CHOOSE(C64-4,0.80,0.84,0.88,0.92,0.96,1.00),"")</f>
        <v/>
      </c>
    </row>
    <row r="65">
      <c r="A65" t="inlineStr">
        <is>
          <t>Weighted Push-ups</t>
        </is>
      </c>
      <c r="C65" t="n">
        <v>8</v>
      </c>
      <c r="D65">
        <f>IF(B65&gt;0, B65*CHOOSE(C65-4,0.80,0.84,0.88,0.92,0.96,1.00),"")</f>
        <v/>
      </c>
    </row>
    <row r="66">
      <c r="A66" t="inlineStr">
        <is>
          <t>Weighted Push-ups</t>
        </is>
      </c>
      <c r="C66" t="n">
        <v>9</v>
      </c>
      <c r="D66">
        <f>IF(B66&gt;0, B66*CHOOSE(C66-4,0.80,0.84,0.88,0.92,0.96,1.00),"")</f>
        <v/>
      </c>
    </row>
    <row r="67">
      <c r="A67" t="inlineStr">
        <is>
          <t>Weighted Push-ups</t>
        </is>
      </c>
      <c r="C67" t="n">
        <v>10</v>
      </c>
      <c r="D67">
        <f>IF(B67&gt;0, B67*CHOOSE(C67-4,0.80,0.84,0.88,0.92,0.96,1.00),"")</f>
        <v/>
      </c>
    </row>
    <row r="68">
      <c r="A68" t="inlineStr">
        <is>
          <t>Dips</t>
        </is>
      </c>
      <c r="C68" t="n">
        <v>5</v>
      </c>
      <c r="D68">
        <f>IF(B68&gt;0, B68*CHOOSE(C68-4,0.80,0.84,0.88,0.92,0.96,1.00),"")</f>
        <v/>
      </c>
    </row>
    <row r="69">
      <c r="A69" t="inlineStr">
        <is>
          <t>Dips</t>
        </is>
      </c>
      <c r="C69" t="n">
        <v>6</v>
      </c>
      <c r="D69">
        <f>IF(B69&gt;0, B69*CHOOSE(C69-4,0.80,0.84,0.88,0.92,0.96,1.00),"")</f>
        <v/>
      </c>
    </row>
    <row r="70">
      <c r="A70" t="inlineStr">
        <is>
          <t>Dips</t>
        </is>
      </c>
      <c r="C70" t="n">
        <v>7</v>
      </c>
      <c r="D70">
        <f>IF(B70&gt;0, B70*CHOOSE(C70-4,0.80,0.84,0.88,0.92,0.96,1.00),"")</f>
        <v/>
      </c>
    </row>
    <row r="71">
      <c r="A71" t="inlineStr">
        <is>
          <t>Dips</t>
        </is>
      </c>
      <c r="C71" t="n">
        <v>8</v>
      </c>
      <c r="D71">
        <f>IF(B71&gt;0, B71*CHOOSE(C71-4,0.80,0.84,0.88,0.92,0.96,1.00),"")</f>
        <v/>
      </c>
    </row>
    <row r="72">
      <c r="A72" t="inlineStr">
        <is>
          <t>Dips</t>
        </is>
      </c>
      <c r="C72" t="n">
        <v>9</v>
      </c>
      <c r="D72">
        <f>IF(B72&gt;0, B72*CHOOSE(C72-4,0.80,0.84,0.88,0.92,0.96,1.00),"")</f>
        <v/>
      </c>
    </row>
    <row r="73">
      <c r="A73" t="inlineStr">
        <is>
          <t>Dips</t>
        </is>
      </c>
      <c r="C73" t="n">
        <v>10</v>
      </c>
      <c r="D73">
        <f>IF(B73&gt;0, B73*CHOOSE(C73-4,0.80,0.84,0.88,0.92,0.96,1.00),"")</f>
        <v/>
      </c>
    </row>
    <row r="74">
      <c r="A74" t="inlineStr">
        <is>
          <t>Handstand Push-up</t>
        </is>
      </c>
      <c r="C74" t="n">
        <v>5</v>
      </c>
      <c r="D74">
        <f>IF(B74&gt;0, B74*CHOOSE(C74-4,0.80,0.84,0.88,0.92,0.96,1.00),"")</f>
        <v/>
      </c>
    </row>
    <row r="75">
      <c r="A75" t="inlineStr">
        <is>
          <t>Handstand Push-up</t>
        </is>
      </c>
      <c r="C75" t="n">
        <v>6</v>
      </c>
      <c r="D75">
        <f>IF(B75&gt;0, B75*CHOOSE(C75-4,0.80,0.84,0.88,0.92,0.96,1.00),"")</f>
        <v/>
      </c>
    </row>
    <row r="76">
      <c r="A76" t="inlineStr">
        <is>
          <t>Handstand Push-up</t>
        </is>
      </c>
      <c r="C76" t="n">
        <v>7</v>
      </c>
      <c r="D76">
        <f>IF(B76&gt;0, B76*CHOOSE(C76-4,0.80,0.84,0.88,0.92,0.96,1.00),"")</f>
        <v/>
      </c>
    </row>
    <row r="77">
      <c r="A77" t="inlineStr">
        <is>
          <t>Handstand Push-up</t>
        </is>
      </c>
      <c r="C77" t="n">
        <v>8</v>
      </c>
      <c r="D77">
        <f>IF(B77&gt;0, B77*CHOOSE(C77-4,0.80,0.84,0.88,0.92,0.96,1.00),"")</f>
        <v/>
      </c>
    </row>
    <row r="78">
      <c r="A78" t="inlineStr">
        <is>
          <t>Handstand Push-up</t>
        </is>
      </c>
      <c r="C78" t="n">
        <v>9</v>
      </c>
      <c r="D78">
        <f>IF(B78&gt;0, B78*CHOOSE(C78-4,0.80,0.84,0.88,0.92,0.96,1.00),"")</f>
        <v/>
      </c>
    </row>
    <row r="79">
      <c r="A79" t="inlineStr">
        <is>
          <t>Handstand Push-up</t>
        </is>
      </c>
      <c r="C79" t="n">
        <v>10</v>
      </c>
      <c r="D79">
        <f>IF(B79&gt;0, B79*CHOOSE(C79-4,0.80,0.84,0.88,0.92,0.96,1.00),"")</f>
        <v/>
      </c>
    </row>
    <row r="80">
      <c r="A80" t="inlineStr">
        <is>
          <t>Military Press</t>
        </is>
      </c>
      <c r="C80" t="n">
        <v>5</v>
      </c>
      <c r="D80">
        <f>IF(B80&gt;0, B80*CHOOSE(C80-4,0.80,0.84,0.88,0.92,0.96,1.00),"")</f>
        <v/>
      </c>
    </row>
    <row r="81">
      <c r="A81" t="inlineStr">
        <is>
          <t>Military Press</t>
        </is>
      </c>
      <c r="C81" t="n">
        <v>6</v>
      </c>
      <c r="D81">
        <f>IF(B81&gt;0, B81*CHOOSE(C81-4,0.80,0.84,0.88,0.92,0.96,1.00),"")</f>
        <v/>
      </c>
    </row>
    <row r="82">
      <c r="A82" t="inlineStr">
        <is>
          <t>Military Press</t>
        </is>
      </c>
      <c r="C82" t="n">
        <v>7</v>
      </c>
      <c r="D82">
        <f>IF(B82&gt;0, B82*CHOOSE(C82-4,0.80,0.84,0.88,0.92,0.96,1.00),"")</f>
        <v/>
      </c>
    </row>
    <row r="83">
      <c r="A83" t="inlineStr">
        <is>
          <t>Military Press</t>
        </is>
      </c>
      <c r="C83" t="n">
        <v>8</v>
      </c>
      <c r="D83">
        <f>IF(B83&gt;0, B83*CHOOSE(C83-4,0.80,0.84,0.88,0.92,0.96,1.00),"")</f>
        <v/>
      </c>
    </row>
    <row r="84">
      <c r="A84" t="inlineStr">
        <is>
          <t>Military Press</t>
        </is>
      </c>
      <c r="C84" t="n">
        <v>9</v>
      </c>
      <c r="D84">
        <f>IF(B84&gt;0, B84*CHOOSE(C84-4,0.80,0.84,0.88,0.92,0.96,1.00),"")</f>
        <v/>
      </c>
    </row>
    <row r="85">
      <c r="A85" t="inlineStr">
        <is>
          <t>Military Press</t>
        </is>
      </c>
      <c r="C85" t="n">
        <v>10</v>
      </c>
      <c r="D85">
        <f>IF(B85&gt;0, B85*CHOOSE(C85-4,0.80,0.84,0.88,0.92,0.96,1.00),"")</f>
        <v/>
      </c>
    </row>
    <row r="86">
      <c r="A86" t="inlineStr">
        <is>
          <t>Incline Fly</t>
        </is>
      </c>
      <c r="C86" t="n">
        <v>5</v>
      </c>
      <c r="D86">
        <f>IF(B86&gt;0, B86*CHOOSE(C86-4,0.80,0.84,0.88,0.92,0.96,1.00),"")</f>
        <v/>
      </c>
    </row>
    <row r="87">
      <c r="A87" t="inlineStr">
        <is>
          <t>Incline Fly</t>
        </is>
      </c>
      <c r="C87" t="n">
        <v>6</v>
      </c>
      <c r="D87">
        <f>IF(B87&gt;0, B87*CHOOSE(C87-4,0.80,0.84,0.88,0.92,0.96,1.00),"")</f>
        <v/>
      </c>
    </row>
    <row r="88">
      <c r="A88" t="inlineStr">
        <is>
          <t>Incline Fly</t>
        </is>
      </c>
      <c r="C88" t="n">
        <v>7</v>
      </c>
      <c r="D88">
        <f>IF(B88&gt;0, B88*CHOOSE(C88-4,0.80,0.84,0.88,0.92,0.96,1.00),"")</f>
        <v/>
      </c>
    </row>
    <row r="89">
      <c r="A89" t="inlineStr">
        <is>
          <t>Incline Fly</t>
        </is>
      </c>
      <c r="C89" t="n">
        <v>8</v>
      </c>
      <c r="D89">
        <f>IF(B89&gt;0, B89*CHOOSE(C89-4,0.80,0.84,0.88,0.92,0.96,1.00),"")</f>
        <v/>
      </c>
    </row>
    <row r="90">
      <c r="A90" t="inlineStr">
        <is>
          <t>Incline Fly</t>
        </is>
      </c>
      <c r="C90" t="n">
        <v>9</v>
      </c>
      <c r="D90">
        <f>IF(B90&gt;0, B90*CHOOSE(C90-4,0.80,0.84,0.88,0.92,0.96,1.00),"")</f>
        <v/>
      </c>
    </row>
    <row r="91">
      <c r="A91" t="inlineStr">
        <is>
          <t>Incline Fly</t>
        </is>
      </c>
      <c r="C91" t="n">
        <v>10</v>
      </c>
      <c r="D91">
        <f>IF(B91&gt;0, B91*CHOOSE(C91-4,0.80,0.84,0.88,0.92,0.96,1.00),"")</f>
        <v/>
      </c>
    </row>
    <row r="92">
      <c r="A92" t="inlineStr">
        <is>
          <t>Lateral Raise</t>
        </is>
      </c>
      <c r="C92" t="n">
        <v>5</v>
      </c>
      <c r="D92">
        <f>IF(B92&gt;0, B92*CHOOSE(C92-4,0.80,0.84,0.88,0.92,0.96,1.00),"")</f>
        <v/>
      </c>
    </row>
    <row r="93">
      <c r="A93" t="inlineStr">
        <is>
          <t>Lateral Raise</t>
        </is>
      </c>
      <c r="C93" t="n">
        <v>6</v>
      </c>
      <c r="D93">
        <f>IF(B93&gt;0, B93*CHOOSE(C93-4,0.80,0.84,0.88,0.92,0.96,1.00),"")</f>
        <v/>
      </c>
    </row>
    <row r="94">
      <c r="A94" t="inlineStr">
        <is>
          <t>Lateral Raise</t>
        </is>
      </c>
      <c r="C94" t="n">
        <v>7</v>
      </c>
      <c r="D94">
        <f>IF(B94&gt;0, B94*CHOOSE(C94-4,0.80,0.84,0.88,0.92,0.96,1.00),"")</f>
        <v/>
      </c>
    </row>
    <row r="95">
      <c r="A95" t="inlineStr">
        <is>
          <t>Lateral Raise</t>
        </is>
      </c>
      <c r="C95" t="n">
        <v>8</v>
      </c>
      <c r="D95">
        <f>IF(B95&gt;0, B95*CHOOSE(C95-4,0.80,0.84,0.88,0.92,0.96,1.00),"")</f>
        <v/>
      </c>
    </row>
    <row r="96">
      <c r="A96" t="inlineStr">
        <is>
          <t>Lateral Raise</t>
        </is>
      </c>
      <c r="C96" t="n">
        <v>9</v>
      </c>
      <c r="D96">
        <f>IF(B96&gt;0, B96*CHOOSE(C96-4,0.80,0.84,0.88,0.92,0.96,1.00),"")</f>
        <v/>
      </c>
    </row>
    <row r="97">
      <c r="A97" t="inlineStr">
        <is>
          <t>Lateral Raise</t>
        </is>
      </c>
      <c r="C97" t="n">
        <v>10</v>
      </c>
      <c r="D97">
        <f>IF(B97&gt;0, B97*CHOOSE(C97-4,0.80,0.84,0.88,0.92,0.96,1.00),"")</f>
        <v/>
      </c>
    </row>
    <row r="98">
      <c r="A98" t="inlineStr">
        <is>
          <t>Triceps Extension</t>
        </is>
      </c>
      <c r="C98" t="n">
        <v>5</v>
      </c>
      <c r="D98">
        <f>IF(B98&gt;0, B98*CHOOSE(C98-4,0.80,0.84,0.88,0.92,0.96,1.00),"")</f>
        <v/>
      </c>
    </row>
    <row r="99">
      <c r="A99" t="inlineStr">
        <is>
          <t>Triceps Extension</t>
        </is>
      </c>
      <c r="C99" t="n">
        <v>6</v>
      </c>
      <c r="D99">
        <f>IF(B99&gt;0, B99*CHOOSE(C99-4,0.80,0.84,0.88,0.92,0.96,1.00),"")</f>
        <v/>
      </c>
    </row>
    <row r="100">
      <c r="A100" t="inlineStr">
        <is>
          <t>Triceps Extension</t>
        </is>
      </c>
      <c r="C100" t="n">
        <v>7</v>
      </c>
      <c r="D100">
        <f>IF(B100&gt;0, B100*CHOOSE(C100-4,0.80,0.84,0.88,0.92,0.96,1.00),"")</f>
        <v/>
      </c>
    </row>
    <row r="101">
      <c r="A101" t="inlineStr">
        <is>
          <t>Triceps Extension</t>
        </is>
      </c>
      <c r="C101" t="n">
        <v>8</v>
      </c>
      <c r="D101">
        <f>IF(B101&gt;0, B101*CHOOSE(C101-4,0.80,0.84,0.88,0.92,0.96,1.00),"")</f>
        <v/>
      </c>
    </row>
    <row r="102">
      <c r="A102" t="inlineStr">
        <is>
          <t>Triceps Extension</t>
        </is>
      </c>
      <c r="C102" t="n">
        <v>9</v>
      </c>
      <c r="D102">
        <f>IF(B102&gt;0, B102*CHOOSE(C102-4,0.80,0.84,0.88,0.92,0.96,1.00),"")</f>
        <v/>
      </c>
    </row>
    <row r="103">
      <c r="A103" t="inlineStr">
        <is>
          <t>Triceps Extension</t>
        </is>
      </c>
      <c r="C103" t="n">
        <v>10</v>
      </c>
      <c r="D103">
        <f>IF(B103&gt;0, B103*CHOOSE(C103-4,0.80,0.84,0.88,0.92,0.96,1.00),"")</f>
        <v/>
      </c>
    </row>
    <row r="104">
      <c r="A104" t="inlineStr">
        <is>
          <t>Weighted Pull-up</t>
        </is>
      </c>
      <c r="C104" t="n">
        <v>5</v>
      </c>
      <c r="D104">
        <f>IF(B104&gt;0, B104*CHOOSE(C104-4,0.80,0.84,0.88,0.92,0.96,1.00),"")</f>
        <v/>
      </c>
    </row>
    <row r="105">
      <c r="A105" t="inlineStr">
        <is>
          <t>Weighted Pull-up</t>
        </is>
      </c>
      <c r="C105" t="n">
        <v>6</v>
      </c>
      <c r="D105">
        <f>IF(B105&gt;0, B105*CHOOSE(C105-4,0.80,0.84,0.88,0.92,0.96,1.00),"")</f>
        <v/>
      </c>
    </row>
    <row r="106">
      <c r="A106" t="inlineStr">
        <is>
          <t>Weighted Pull-up</t>
        </is>
      </c>
      <c r="C106" t="n">
        <v>7</v>
      </c>
      <c r="D106">
        <f>IF(B106&gt;0, B106*CHOOSE(C106-4,0.80,0.84,0.88,0.92,0.96,1.00),"")</f>
        <v/>
      </c>
    </row>
    <row r="107">
      <c r="A107" t="inlineStr">
        <is>
          <t>Weighted Pull-up</t>
        </is>
      </c>
      <c r="C107" t="n">
        <v>8</v>
      </c>
      <c r="D107">
        <f>IF(B107&gt;0, B107*CHOOSE(C107-4,0.80,0.84,0.88,0.92,0.96,1.00),"")</f>
        <v/>
      </c>
    </row>
    <row r="108">
      <c r="A108" t="inlineStr">
        <is>
          <t>Weighted Pull-up</t>
        </is>
      </c>
      <c r="C108" t="n">
        <v>9</v>
      </c>
      <c r="D108">
        <f>IF(B108&gt;0, B108*CHOOSE(C108-4,0.80,0.84,0.88,0.92,0.96,1.00),"")</f>
        <v/>
      </c>
    </row>
    <row r="109">
      <c r="A109" t="inlineStr">
        <is>
          <t>Weighted Pull-up</t>
        </is>
      </c>
      <c r="C109" t="n">
        <v>10</v>
      </c>
      <c r="D109">
        <f>IF(B109&gt;0, B109*CHOOSE(C109-4,0.80,0.84,0.88,0.92,0.96,1.00),"")</f>
        <v/>
      </c>
    </row>
    <row r="110">
      <c r="A110" t="inlineStr">
        <is>
          <t>Rowing</t>
        </is>
      </c>
      <c r="C110" t="n">
        <v>5</v>
      </c>
      <c r="D110">
        <f>IF(B110&gt;0, B110*CHOOSE(C110-4,0.80,0.84,0.88,0.92,0.96,1.00),"")</f>
        <v/>
      </c>
    </row>
    <row r="111">
      <c r="A111" t="inlineStr">
        <is>
          <t>Rowing</t>
        </is>
      </c>
      <c r="C111" t="n">
        <v>6</v>
      </c>
      <c r="D111">
        <f>IF(B111&gt;0, B111*CHOOSE(C111-4,0.80,0.84,0.88,0.92,0.96,1.00),"")</f>
        <v/>
      </c>
    </row>
    <row r="112">
      <c r="A112" t="inlineStr">
        <is>
          <t>Rowing</t>
        </is>
      </c>
      <c r="C112" t="n">
        <v>7</v>
      </c>
      <c r="D112">
        <f>IF(B112&gt;0, B112*CHOOSE(C112-4,0.80,0.84,0.88,0.92,0.96,1.00),"")</f>
        <v/>
      </c>
    </row>
    <row r="113">
      <c r="A113" t="inlineStr">
        <is>
          <t>Rowing</t>
        </is>
      </c>
      <c r="C113" t="n">
        <v>8</v>
      </c>
      <c r="D113">
        <f>IF(B113&gt;0, B113*CHOOSE(C113-4,0.80,0.84,0.88,0.92,0.96,1.00),"")</f>
        <v/>
      </c>
    </row>
    <row r="114">
      <c r="A114" t="inlineStr">
        <is>
          <t>Rowing</t>
        </is>
      </c>
      <c r="C114" t="n">
        <v>9</v>
      </c>
      <c r="D114">
        <f>IF(B114&gt;0, B114*CHOOSE(C114-4,0.80,0.84,0.88,0.92,0.96,1.00),"")</f>
        <v/>
      </c>
    </row>
    <row r="115">
      <c r="A115" t="inlineStr">
        <is>
          <t>Rowing</t>
        </is>
      </c>
      <c r="C115" t="n">
        <v>10</v>
      </c>
      <c r="D115">
        <f>IF(B115&gt;0, B115*CHOOSE(C115-4,0.80,0.84,0.88,0.92,0.96,1.00),"")</f>
        <v/>
      </c>
    </row>
    <row r="116">
      <c r="A116" t="inlineStr">
        <is>
          <t>Good Morning</t>
        </is>
      </c>
      <c r="C116" t="n">
        <v>5</v>
      </c>
      <c r="D116">
        <f>IF(B116&gt;0, B116*CHOOSE(C116-4,0.80,0.84,0.88,0.92,0.96,1.00),"")</f>
        <v/>
      </c>
    </row>
    <row r="117">
      <c r="A117" t="inlineStr">
        <is>
          <t>Good Morning</t>
        </is>
      </c>
      <c r="C117" t="n">
        <v>6</v>
      </c>
      <c r="D117">
        <f>IF(B117&gt;0, B117*CHOOSE(C117-4,0.80,0.84,0.88,0.92,0.96,1.00),"")</f>
        <v/>
      </c>
    </row>
    <row r="118">
      <c r="A118" t="inlineStr">
        <is>
          <t>Good Morning</t>
        </is>
      </c>
      <c r="C118" t="n">
        <v>7</v>
      </c>
      <c r="D118">
        <f>IF(B118&gt;0, B118*CHOOSE(C118-4,0.80,0.84,0.88,0.92,0.96,1.00),"")</f>
        <v/>
      </c>
    </row>
    <row r="119">
      <c r="A119" t="inlineStr">
        <is>
          <t>Good Morning</t>
        </is>
      </c>
      <c r="C119" t="n">
        <v>8</v>
      </c>
      <c r="D119">
        <f>IF(B119&gt;0, B119*CHOOSE(C119-4,0.80,0.84,0.88,0.92,0.96,1.00),"")</f>
        <v/>
      </c>
    </row>
    <row r="120">
      <c r="A120" t="inlineStr">
        <is>
          <t>Good Morning</t>
        </is>
      </c>
      <c r="C120" t="n">
        <v>9</v>
      </c>
      <c r="D120">
        <f>IF(B120&gt;0, B120*CHOOSE(C120-4,0.80,0.84,0.88,0.92,0.96,1.00),"")</f>
        <v/>
      </c>
    </row>
    <row r="121">
      <c r="A121" t="inlineStr">
        <is>
          <t>Good Morning</t>
        </is>
      </c>
      <c r="C121" t="n">
        <v>10</v>
      </c>
      <c r="D121">
        <f>IF(B121&gt;0, B121*CHOOSE(C121-4,0.80,0.84,0.88,0.92,0.96,1.00),"")</f>
        <v/>
      </c>
    </row>
    <row r="122">
      <c r="A122" t="inlineStr">
        <is>
          <t>Muscle-up</t>
        </is>
      </c>
      <c r="C122" t="n">
        <v>5</v>
      </c>
      <c r="D122">
        <f>IF(B122&gt;0, B122*CHOOSE(C122-4,0.80,0.84,0.88,0.92,0.96,1.00),"")</f>
        <v/>
      </c>
    </row>
    <row r="123">
      <c r="A123" t="inlineStr">
        <is>
          <t>Muscle-up</t>
        </is>
      </c>
      <c r="C123" t="n">
        <v>6</v>
      </c>
      <c r="D123">
        <f>IF(B123&gt;0, B123*CHOOSE(C123-4,0.80,0.84,0.88,0.92,0.96,1.00),"")</f>
        <v/>
      </c>
    </row>
    <row r="124">
      <c r="A124" t="inlineStr">
        <is>
          <t>Muscle-up</t>
        </is>
      </c>
      <c r="C124" t="n">
        <v>7</v>
      </c>
      <c r="D124">
        <f>IF(B124&gt;0, B124*CHOOSE(C124-4,0.80,0.84,0.88,0.92,0.96,1.00),"")</f>
        <v/>
      </c>
    </row>
    <row r="125">
      <c r="A125" t="inlineStr">
        <is>
          <t>Muscle-up</t>
        </is>
      </c>
      <c r="C125" t="n">
        <v>8</v>
      </c>
      <c r="D125">
        <f>IF(B125&gt;0, B125*CHOOSE(C125-4,0.80,0.84,0.88,0.92,0.96,1.00),"")</f>
        <v/>
      </c>
    </row>
    <row r="126">
      <c r="A126" t="inlineStr">
        <is>
          <t>Muscle-up</t>
        </is>
      </c>
      <c r="C126" t="n">
        <v>9</v>
      </c>
      <c r="D126">
        <f>IF(B126&gt;0, B126*CHOOSE(C126-4,0.80,0.84,0.88,0.92,0.96,1.00),"")</f>
        <v/>
      </c>
    </row>
    <row r="127">
      <c r="A127" t="inlineStr">
        <is>
          <t>Muscle-up</t>
        </is>
      </c>
      <c r="C127" t="n">
        <v>10</v>
      </c>
      <c r="D127">
        <f>IF(B127&gt;0, B127*CHOOSE(C127-4,0.80,0.84,0.88,0.92,0.96,1.00),"")</f>
        <v/>
      </c>
    </row>
    <row r="128">
      <c r="A128" t="inlineStr">
        <is>
          <t>Lat Pulldown</t>
        </is>
      </c>
      <c r="C128" t="n">
        <v>5</v>
      </c>
      <c r="D128">
        <f>IF(B128&gt;0, B128*CHOOSE(C128-4,0.80,0.84,0.88,0.92,0.96,1.00),"")</f>
        <v/>
      </c>
    </row>
    <row r="129">
      <c r="A129" t="inlineStr">
        <is>
          <t>Lat Pulldown</t>
        </is>
      </c>
      <c r="C129" t="n">
        <v>6</v>
      </c>
      <c r="D129">
        <f>IF(B129&gt;0, B129*CHOOSE(C129-4,0.80,0.84,0.88,0.92,0.96,1.00),"")</f>
        <v/>
      </c>
    </row>
    <row r="130">
      <c r="A130" t="inlineStr">
        <is>
          <t>Lat Pulldown</t>
        </is>
      </c>
      <c r="C130" t="n">
        <v>7</v>
      </c>
      <c r="D130">
        <f>IF(B130&gt;0, B130*CHOOSE(C130-4,0.80,0.84,0.88,0.92,0.96,1.00),"")</f>
        <v/>
      </c>
    </row>
    <row r="131">
      <c r="A131" t="inlineStr">
        <is>
          <t>Lat Pulldown</t>
        </is>
      </c>
      <c r="C131" t="n">
        <v>8</v>
      </c>
      <c r="D131">
        <f>IF(B131&gt;0, B131*CHOOSE(C131-4,0.80,0.84,0.88,0.92,0.96,1.00),"")</f>
        <v/>
      </c>
    </row>
    <row r="132">
      <c r="A132" t="inlineStr">
        <is>
          <t>Lat Pulldown</t>
        </is>
      </c>
      <c r="C132" t="n">
        <v>9</v>
      </c>
      <c r="D132">
        <f>IF(B132&gt;0, B132*CHOOSE(C132-4,0.80,0.84,0.88,0.92,0.96,1.00),"")</f>
        <v/>
      </c>
    </row>
    <row r="133">
      <c r="A133" t="inlineStr">
        <is>
          <t>Lat Pulldown</t>
        </is>
      </c>
      <c r="C133" t="n">
        <v>10</v>
      </c>
      <c r="D133">
        <f>IF(B133&gt;0, B133*CHOOSE(C133-4,0.80,0.84,0.88,0.92,0.96,1.00),"")</f>
        <v/>
      </c>
    </row>
    <row r="134">
      <c r="A134" t="inlineStr">
        <is>
          <t>Biceps Curl</t>
        </is>
      </c>
      <c r="C134" t="n">
        <v>5</v>
      </c>
      <c r="D134">
        <f>IF(B134&gt;0, B134*CHOOSE(C134-4,0.80,0.84,0.88,0.92,0.96,1.00),"")</f>
        <v/>
      </c>
    </row>
    <row r="135">
      <c r="A135" t="inlineStr">
        <is>
          <t>Biceps Curl</t>
        </is>
      </c>
      <c r="C135" t="n">
        <v>6</v>
      </c>
      <c r="D135">
        <f>IF(B135&gt;0, B135*CHOOSE(C135-4,0.80,0.84,0.88,0.92,0.96,1.00),"")</f>
        <v/>
      </c>
    </row>
    <row r="136">
      <c r="A136" t="inlineStr">
        <is>
          <t>Biceps Curl</t>
        </is>
      </c>
      <c r="C136" t="n">
        <v>7</v>
      </c>
      <c r="D136">
        <f>IF(B136&gt;0, B136*CHOOSE(C136-4,0.80,0.84,0.88,0.92,0.96,1.00),"")</f>
        <v/>
      </c>
    </row>
    <row r="137">
      <c r="A137" t="inlineStr">
        <is>
          <t>Biceps Curl</t>
        </is>
      </c>
      <c r="C137" t="n">
        <v>8</v>
      </c>
      <c r="D137">
        <f>IF(B137&gt;0, B137*CHOOSE(C137-4,0.80,0.84,0.88,0.92,0.96,1.00),"")</f>
        <v/>
      </c>
    </row>
    <row r="138">
      <c r="A138" t="inlineStr">
        <is>
          <t>Biceps Curl</t>
        </is>
      </c>
      <c r="C138" t="n">
        <v>9</v>
      </c>
      <c r="D138">
        <f>IF(B138&gt;0, B138*CHOOSE(C138-4,0.80,0.84,0.88,0.92,0.96,1.00),"")</f>
        <v/>
      </c>
    </row>
    <row r="139">
      <c r="A139" t="inlineStr">
        <is>
          <t>Biceps Curl</t>
        </is>
      </c>
      <c r="C139" t="n">
        <v>10</v>
      </c>
      <c r="D139">
        <f>IF(B139&gt;0, B139*CHOOSE(C139-4,0.80,0.84,0.88,0.92,0.96,1.00),"")</f>
        <v/>
      </c>
    </row>
    <row r="140">
      <c r="A140" t="inlineStr">
        <is>
          <t>Face Pull</t>
        </is>
      </c>
      <c r="C140" t="n">
        <v>5</v>
      </c>
      <c r="D140">
        <f>IF(B140&gt;0, B140*CHOOSE(C140-4,0.80,0.84,0.88,0.92,0.96,1.00),"")</f>
        <v/>
      </c>
    </row>
    <row r="141">
      <c r="A141" t="inlineStr">
        <is>
          <t>Face Pull</t>
        </is>
      </c>
      <c r="C141" t="n">
        <v>6</v>
      </c>
      <c r="D141">
        <f>IF(B141&gt;0, B141*CHOOSE(C141-4,0.80,0.84,0.88,0.92,0.96,1.00),"")</f>
        <v/>
      </c>
    </row>
    <row r="142">
      <c r="A142" t="inlineStr">
        <is>
          <t>Face Pull</t>
        </is>
      </c>
      <c r="C142" t="n">
        <v>7</v>
      </c>
      <c r="D142">
        <f>IF(B142&gt;0, B142*CHOOSE(C142-4,0.80,0.84,0.88,0.92,0.96,1.00),"")</f>
        <v/>
      </c>
    </row>
    <row r="143">
      <c r="A143" t="inlineStr">
        <is>
          <t>Face Pull</t>
        </is>
      </c>
      <c r="C143" t="n">
        <v>8</v>
      </c>
      <c r="D143">
        <f>IF(B143&gt;0, B143*CHOOSE(C143-4,0.80,0.84,0.88,0.92,0.96,1.00),"")</f>
        <v/>
      </c>
    </row>
    <row r="144">
      <c r="A144" t="inlineStr">
        <is>
          <t>Face Pull</t>
        </is>
      </c>
      <c r="C144" t="n">
        <v>9</v>
      </c>
      <c r="D144">
        <f>IF(B144&gt;0, B144*CHOOSE(C144-4,0.80,0.84,0.88,0.92,0.96,1.00),"")</f>
        <v/>
      </c>
    </row>
    <row r="145">
      <c r="A145" t="inlineStr">
        <is>
          <t>Face Pull</t>
        </is>
      </c>
      <c r="C145" t="n">
        <v>10</v>
      </c>
      <c r="D145">
        <f>IF(B145&gt;0, B145*CHOOSE(C145-4,0.80,0.84,0.88,0.92,0.96,1.00),"")</f>
        <v/>
      </c>
    </row>
    <row r="146">
      <c r="A146" t="inlineStr">
        <is>
          <t>Belt Squat</t>
        </is>
      </c>
      <c r="C146" t="n">
        <v>5</v>
      </c>
      <c r="D146">
        <f>IF(B146&gt;0, B146*CHOOSE(C146-4,0.80,0.84,0.88,0.92,0.96,1.00),"")</f>
        <v/>
      </c>
    </row>
    <row r="147">
      <c r="A147" t="inlineStr">
        <is>
          <t>Belt Squat</t>
        </is>
      </c>
      <c r="C147" t="n">
        <v>6</v>
      </c>
      <c r="D147">
        <f>IF(B147&gt;0, B147*CHOOSE(C147-4,0.80,0.84,0.88,0.92,0.96,1.00),"")</f>
        <v/>
      </c>
    </row>
    <row r="148">
      <c r="A148" t="inlineStr">
        <is>
          <t>Belt Squat</t>
        </is>
      </c>
      <c r="C148" t="n">
        <v>7</v>
      </c>
      <c r="D148">
        <f>IF(B148&gt;0, B148*CHOOSE(C148-4,0.80,0.84,0.88,0.92,0.96,1.00),"")</f>
        <v/>
      </c>
    </row>
    <row r="149">
      <c r="A149" t="inlineStr">
        <is>
          <t>Belt Squat</t>
        </is>
      </c>
      <c r="C149" t="n">
        <v>8</v>
      </c>
      <c r="D149">
        <f>IF(B149&gt;0, B149*CHOOSE(C149-4,0.80,0.84,0.88,0.92,0.96,1.00),"")</f>
        <v/>
      </c>
    </row>
    <row r="150">
      <c r="A150" t="inlineStr">
        <is>
          <t>Belt Squat</t>
        </is>
      </c>
      <c r="C150" t="n">
        <v>9</v>
      </c>
      <c r="D150">
        <f>IF(B150&gt;0, B150*CHOOSE(C150-4,0.80,0.84,0.88,0.92,0.96,1.00),"")</f>
        <v/>
      </c>
    </row>
    <row r="151">
      <c r="A151" t="inlineStr">
        <is>
          <t>Belt Squat</t>
        </is>
      </c>
      <c r="C151" t="n">
        <v>10</v>
      </c>
      <c r="D151">
        <f>IF(B151&gt;0, B151*CHOOSE(C151-4,0.80,0.84,0.88,0.92,0.96,1.00),"")</f>
        <v/>
      </c>
    </row>
    <row r="152">
      <c r="A152" t="inlineStr">
        <is>
          <t>Romanian Deadlift</t>
        </is>
      </c>
      <c r="C152" t="n">
        <v>5</v>
      </c>
      <c r="D152">
        <f>IF(B152&gt;0, B152*CHOOSE(C152-4,0.80,0.84,0.88,0.92,0.96,1.00),"")</f>
        <v/>
      </c>
    </row>
    <row r="153">
      <c r="A153" t="inlineStr">
        <is>
          <t>Romanian Deadlift</t>
        </is>
      </c>
      <c r="C153" t="n">
        <v>6</v>
      </c>
      <c r="D153">
        <f>IF(B153&gt;0, B153*CHOOSE(C153-4,0.80,0.84,0.88,0.92,0.96,1.00),"")</f>
        <v/>
      </c>
    </row>
    <row r="154">
      <c r="A154" t="inlineStr">
        <is>
          <t>Romanian Deadlift</t>
        </is>
      </c>
      <c r="C154" t="n">
        <v>7</v>
      </c>
      <c r="D154">
        <f>IF(B154&gt;0, B154*CHOOSE(C154-4,0.80,0.84,0.88,0.92,0.96,1.00),"")</f>
        <v/>
      </c>
    </row>
    <row r="155">
      <c r="A155" t="inlineStr">
        <is>
          <t>Romanian Deadlift</t>
        </is>
      </c>
      <c r="C155" t="n">
        <v>8</v>
      </c>
      <c r="D155">
        <f>IF(B155&gt;0, B155*CHOOSE(C155-4,0.80,0.84,0.88,0.92,0.96,1.00),"")</f>
        <v/>
      </c>
    </row>
    <row r="156">
      <c r="A156" t="inlineStr">
        <is>
          <t>Romanian Deadlift</t>
        </is>
      </c>
      <c r="C156" t="n">
        <v>9</v>
      </c>
      <c r="D156">
        <f>IF(B156&gt;0, B156*CHOOSE(C156-4,0.80,0.84,0.88,0.92,0.96,1.00),"")</f>
        <v/>
      </c>
    </row>
    <row r="157">
      <c r="A157" t="inlineStr">
        <is>
          <t>Romanian Deadlift</t>
        </is>
      </c>
      <c r="C157" t="n">
        <v>10</v>
      </c>
      <c r="D157">
        <f>IF(B157&gt;0, B157*CHOOSE(C157-4,0.80,0.84,0.88,0.92,0.96,1.00),"")</f>
        <v/>
      </c>
    </row>
    <row r="158">
      <c r="A158" t="inlineStr">
        <is>
          <t>Hip Thrust</t>
        </is>
      </c>
      <c r="C158" t="n">
        <v>5</v>
      </c>
      <c r="D158">
        <f>IF(B158&gt;0, B158*CHOOSE(C158-4,0.80,0.84,0.88,0.92,0.96,1.00),"")</f>
        <v/>
      </c>
    </row>
    <row r="159">
      <c r="A159" t="inlineStr">
        <is>
          <t>Hip Thrust</t>
        </is>
      </c>
      <c r="C159" t="n">
        <v>6</v>
      </c>
      <c r="D159">
        <f>IF(B159&gt;0, B159*CHOOSE(C159-4,0.80,0.84,0.88,0.92,0.96,1.00),"")</f>
        <v/>
      </c>
    </row>
    <row r="160">
      <c r="A160" t="inlineStr">
        <is>
          <t>Hip Thrust</t>
        </is>
      </c>
      <c r="C160" t="n">
        <v>7</v>
      </c>
      <c r="D160">
        <f>IF(B160&gt;0, B160*CHOOSE(C160-4,0.80,0.84,0.88,0.92,0.96,1.00),"")</f>
        <v/>
      </c>
    </row>
    <row r="161">
      <c r="A161" t="inlineStr">
        <is>
          <t>Hip Thrust</t>
        </is>
      </c>
      <c r="C161" t="n">
        <v>8</v>
      </c>
      <c r="D161">
        <f>IF(B161&gt;0, B161*CHOOSE(C161-4,0.80,0.84,0.88,0.92,0.96,1.00),"")</f>
        <v/>
      </c>
    </row>
    <row r="162">
      <c r="A162" t="inlineStr">
        <is>
          <t>Hip Thrust</t>
        </is>
      </c>
      <c r="C162" t="n">
        <v>9</v>
      </c>
      <c r="D162">
        <f>IF(B162&gt;0, B162*CHOOSE(C162-4,0.80,0.84,0.88,0.92,0.96,1.00),"")</f>
        <v/>
      </c>
    </row>
    <row r="163">
      <c r="A163" t="inlineStr">
        <is>
          <t>Hip Thrust</t>
        </is>
      </c>
      <c r="C163" t="n">
        <v>10</v>
      </c>
      <c r="D163">
        <f>IF(B163&gt;0, B163*CHOOSE(C163-4,0.80,0.84,0.88,0.92,0.96,1.00),"")</f>
        <v/>
      </c>
    </row>
    <row r="164">
      <c r="A164" t="inlineStr">
        <is>
          <t>Kickback</t>
        </is>
      </c>
      <c r="C164" t="n">
        <v>5</v>
      </c>
      <c r="D164">
        <f>IF(B164&gt;0, B164*CHOOSE(C164-4,0.80,0.84,0.88,0.92,0.96,1.00),"")</f>
        <v/>
      </c>
    </row>
    <row r="165">
      <c r="A165" t="inlineStr">
        <is>
          <t>Kickback</t>
        </is>
      </c>
      <c r="C165" t="n">
        <v>6</v>
      </c>
      <c r="D165">
        <f>IF(B165&gt;0, B165*CHOOSE(C165-4,0.80,0.84,0.88,0.92,0.96,1.00),"")</f>
        <v/>
      </c>
    </row>
    <row r="166">
      <c r="A166" t="inlineStr">
        <is>
          <t>Kickback</t>
        </is>
      </c>
      <c r="C166" t="n">
        <v>7</v>
      </c>
      <c r="D166">
        <f>IF(B166&gt;0, B166*CHOOSE(C166-4,0.80,0.84,0.88,0.92,0.96,1.00),"")</f>
        <v/>
      </c>
    </row>
    <row r="167">
      <c r="A167" t="inlineStr">
        <is>
          <t>Kickback</t>
        </is>
      </c>
      <c r="C167" t="n">
        <v>8</v>
      </c>
      <c r="D167">
        <f>IF(B167&gt;0, B167*CHOOSE(C167-4,0.80,0.84,0.88,0.92,0.96,1.00),"")</f>
        <v/>
      </c>
    </row>
    <row r="168">
      <c r="A168" t="inlineStr">
        <is>
          <t>Kickback</t>
        </is>
      </c>
      <c r="C168" t="n">
        <v>9</v>
      </c>
      <c r="D168">
        <f>IF(B168&gt;0, B168*CHOOSE(C168-4,0.80,0.84,0.88,0.92,0.96,1.00),"")</f>
        <v/>
      </c>
    </row>
    <row r="169">
      <c r="A169" t="inlineStr">
        <is>
          <t>Kickback</t>
        </is>
      </c>
      <c r="C169" t="n">
        <v>10</v>
      </c>
      <c r="D169">
        <f>IF(B169&gt;0, B169*CHOOSE(C169-4,0.80,0.84,0.88,0.92,0.96,1.00),"")</f>
        <v/>
      </c>
    </row>
    <row r="170">
      <c r="A170" t="inlineStr">
        <is>
          <t>Abduction</t>
        </is>
      </c>
      <c r="C170" t="n">
        <v>5</v>
      </c>
      <c r="D170">
        <f>IF(B170&gt;0, B170*CHOOSE(C170-4,0.80,0.84,0.88,0.92,0.96,1.00),"")</f>
        <v/>
      </c>
    </row>
    <row r="171">
      <c r="A171" t="inlineStr">
        <is>
          <t>Abduction</t>
        </is>
      </c>
      <c r="C171" t="n">
        <v>6</v>
      </c>
      <c r="D171">
        <f>IF(B171&gt;0, B171*CHOOSE(C171-4,0.80,0.84,0.88,0.92,0.96,1.00),"")</f>
        <v/>
      </c>
    </row>
    <row r="172">
      <c r="A172" t="inlineStr">
        <is>
          <t>Abduction</t>
        </is>
      </c>
      <c r="C172" t="n">
        <v>7</v>
      </c>
      <c r="D172">
        <f>IF(B172&gt;0, B172*CHOOSE(C172-4,0.80,0.84,0.88,0.92,0.96,1.00),"")</f>
        <v/>
      </c>
    </row>
    <row r="173">
      <c r="A173" t="inlineStr">
        <is>
          <t>Abduction</t>
        </is>
      </c>
      <c r="C173" t="n">
        <v>8</v>
      </c>
      <c r="D173">
        <f>IF(B173&gt;0, B173*CHOOSE(C173-4,0.80,0.84,0.88,0.92,0.96,1.00),"")</f>
        <v/>
      </c>
    </row>
    <row r="174">
      <c r="A174" t="inlineStr">
        <is>
          <t>Abduction</t>
        </is>
      </c>
      <c r="C174" t="n">
        <v>9</v>
      </c>
      <c r="D174">
        <f>IF(B174&gt;0, B174*CHOOSE(C174-4,0.80,0.84,0.88,0.92,0.96,1.00),"")</f>
        <v/>
      </c>
    </row>
    <row r="175">
      <c r="A175" t="inlineStr">
        <is>
          <t>Abduction</t>
        </is>
      </c>
      <c r="C175" t="n">
        <v>10</v>
      </c>
      <c r="D175">
        <f>IF(B175&gt;0, B175*CHOOSE(C175-4,0.80,0.84,0.88,0.92,0.96,1.00),"")</f>
        <v/>
      </c>
    </row>
    <row r="176">
      <c r="A176" t="inlineStr">
        <is>
          <t>Box Jump</t>
        </is>
      </c>
      <c r="C176" t="n">
        <v>5</v>
      </c>
      <c r="D176">
        <f>IF(B176&gt;0, B176*CHOOSE(C176-4,0.80,0.84,0.88,0.92,0.96,1.00),"")</f>
        <v/>
      </c>
    </row>
    <row r="177">
      <c r="A177" t="inlineStr">
        <is>
          <t>Box Jump</t>
        </is>
      </c>
      <c r="C177" t="n">
        <v>6</v>
      </c>
      <c r="D177">
        <f>IF(B177&gt;0, B177*CHOOSE(C177-4,0.80,0.84,0.88,0.92,0.96,1.00),"")</f>
        <v/>
      </c>
    </row>
    <row r="178">
      <c r="A178" t="inlineStr">
        <is>
          <t>Box Jump</t>
        </is>
      </c>
      <c r="C178" t="n">
        <v>7</v>
      </c>
      <c r="D178">
        <f>IF(B178&gt;0, B178*CHOOSE(C178-4,0.80,0.84,0.88,0.92,0.96,1.00),"")</f>
        <v/>
      </c>
    </row>
    <row r="179">
      <c r="A179" t="inlineStr">
        <is>
          <t>Box Jump</t>
        </is>
      </c>
      <c r="C179" t="n">
        <v>8</v>
      </c>
      <c r="D179">
        <f>IF(B179&gt;0, B179*CHOOSE(C179-4,0.80,0.84,0.88,0.92,0.96,1.00),"")</f>
        <v/>
      </c>
    </row>
    <row r="180">
      <c r="A180" t="inlineStr">
        <is>
          <t>Box Jump</t>
        </is>
      </c>
      <c r="C180" t="n">
        <v>9</v>
      </c>
      <c r="D180">
        <f>IF(B180&gt;0, B180*CHOOSE(C180-4,0.80,0.84,0.88,0.92,0.96,1.00),"")</f>
        <v/>
      </c>
    </row>
    <row r="181">
      <c r="A181" t="inlineStr">
        <is>
          <t>Box Jump</t>
        </is>
      </c>
      <c r="C181" t="n">
        <v>10</v>
      </c>
      <c r="D181">
        <f>IF(B181&gt;0, B181*CHOOSE(C181-4,0.80,0.84,0.88,0.92,0.96,1.00),"")</f>
        <v/>
      </c>
    </row>
    <row r="182">
      <c r="A182" t="inlineStr">
        <is>
          <t>Pistol Squat</t>
        </is>
      </c>
      <c r="C182" t="n">
        <v>5</v>
      </c>
      <c r="D182">
        <f>IF(B182&gt;0, B182*CHOOSE(C182-4,0.80,0.84,0.88,0.92,0.96,1.00),"")</f>
        <v/>
      </c>
    </row>
    <row r="183">
      <c r="A183" t="inlineStr">
        <is>
          <t>Pistol Squat</t>
        </is>
      </c>
      <c r="C183" t="n">
        <v>6</v>
      </c>
      <c r="D183">
        <f>IF(B183&gt;0, B183*CHOOSE(C183-4,0.80,0.84,0.88,0.92,0.96,1.00),"")</f>
        <v/>
      </c>
    </row>
    <row r="184">
      <c r="A184" t="inlineStr">
        <is>
          <t>Pistol Squat</t>
        </is>
      </c>
      <c r="C184" t="n">
        <v>7</v>
      </c>
      <c r="D184">
        <f>IF(B184&gt;0, B184*CHOOSE(C184-4,0.80,0.84,0.88,0.92,0.96,1.00),"")</f>
        <v/>
      </c>
    </row>
    <row r="185">
      <c r="A185" t="inlineStr">
        <is>
          <t>Pistol Squat</t>
        </is>
      </c>
      <c r="C185" t="n">
        <v>8</v>
      </c>
      <c r="D185">
        <f>IF(B185&gt;0, B185*CHOOSE(C185-4,0.80,0.84,0.88,0.92,0.96,1.00),"")</f>
        <v/>
      </c>
    </row>
    <row r="186">
      <c r="A186" t="inlineStr">
        <is>
          <t>Pistol Squat</t>
        </is>
      </c>
      <c r="C186" t="n">
        <v>9</v>
      </c>
      <c r="D186">
        <f>IF(B186&gt;0, B186*CHOOSE(C186-4,0.80,0.84,0.88,0.92,0.96,1.00),"")</f>
        <v/>
      </c>
    </row>
    <row r="187">
      <c r="A187" t="inlineStr">
        <is>
          <t>Pistol Squat</t>
        </is>
      </c>
      <c r="C187" t="n">
        <v>10</v>
      </c>
      <c r="D187">
        <f>IF(B187&gt;0, B187*CHOOSE(C187-4,0.80,0.84,0.88,0.92,0.96,1.00),"")</f>
        <v/>
      </c>
    </row>
    <row r="188">
      <c r="A188" t="inlineStr">
        <is>
          <t>Farmer Walk</t>
        </is>
      </c>
      <c r="C188" t="n">
        <v>5</v>
      </c>
      <c r="D188">
        <f>IF(B188&gt;0, B188*CHOOSE(C188-4,0.80,0.84,0.88,0.92,0.96,1.00),"")</f>
        <v/>
      </c>
    </row>
    <row r="189">
      <c r="A189" t="inlineStr">
        <is>
          <t>Farmer Walk</t>
        </is>
      </c>
      <c r="C189" t="n">
        <v>6</v>
      </c>
      <c r="D189">
        <f>IF(B189&gt;0, B189*CHOOSE(C189-4,0.80,0.84,0.88,0.92,0.96,1.00),"")</f>
        <v/>
      </c>
    </row>
    <row r="190">
      <c r="A190" t="inlineStr">
        <is>
          <t>Farmer Walk</t>
        </is>
      </c>
      <c r="C190" t="n">
        <v>7</v>
      </c>
      <c r="D190">
        <f>IF(B190&gt;0, B190*CHOOSE(C190-4,0.80,0.84,0.88,0.92,0.96,1.00),"")</f>
        <v/>
      </c>
    </row>
    <row r="191">
      <c r="A191" t="inlineStr">
        <is>
          <t>Farmer Walk</t>
        </is>
      </c>
      <c r="C191" t="n">
        <v>8</v>
      </c>
      <c r="D191">
        <f>IF(B191&gt;0, B191*CHOOSE(C191-4,0.80,0.84,0.88,0.92,0.96,1.00),"")</f>
        <v/>
      </c>
    </row>
    <row r="192">
      <c r="A192" t="inlineStr">
        <is>
          <t>Farmer Walk</t>
        </is>
      </c>
      <c r="C192" t="n">
        <v>9</v>
      </c>
      <c r="D192">
        <f>IF(B192&gt;0, B192*CHOOSE(C192-4,0.80,0.84,0.88,0.92,0.96,1.00),"")</f>
        <v/>
      </c>
    </row>
    <row r="193">
      <c r="A193" t="inlineStr">
        <is>
          <t>Farmer Walk</t>
        </is>
      </c>
      <c r="C193" t="n">
        <v>10</v>
      </c>
      <c r="D193">
        <f>IF(B193&gt;0, B193*CHOOSE(C193-4,0.80,0.84,0.88,0.92,0.96,1.00),"")</f>
        <v/>
      </c>
    </row>
    <row r="194">
      <c r="A194" t="inlineStr">
        <is>
          <t>Burpees</t>
        </is>
      </c>
      <c r="C194" t="n">
        <v>5</v>
      </c>
      <c r="D194">
        <f>IF(B194&gt;0, B194*CHOOSE(C194-4,0.80,0.84,0.88,0.92,0.96,1.00),"")</f>
        <v/>
      </c>
    </row>
    <row r="195">
      <c r="A195" t="inlineStr">
        <is>
          <t>Burpees</t>
        </is>
      </c>
      <c r="C195" t="n">
        <v>6</v>
      </c>
      <c r="D195">
        <f>IF(B195&gt;0, B195*CHOOSE(C195-4,0.80,0.84,0.88,0.92,0.96,1.00),"")</f>
        <v/>
      </c>
    </row>
    <row r="196">
      <c r="A196" t="inlineStr">
        <is>
          <t>Burpees</t>
        </is>
      </c>
      <c r="C196" t="n">
        <v>7</v>
      </c>
      <c r="D196">
        <f>IF(B196&gt;0, B196*CHOOSE(C196-4,0.80,0.84,0.88,0.92,0.96,1.00),"")</f>
        <v/>
      </c>
    </row>
    <row r="197">
      <c r="A197" t="inlineStr">
        <is>
          <t>Burpees</t>
        </is>
      </c>
      <c r="C197" t="n">
        <v>8</v>
      </c>
      <c r="D197">
        <f>IF(B197&gt;0, B197*CHOOSE(C197-4,0.80,0.84,0.88,0.92,0.96,1.00),"")</f>
        <v/>
      </c>
    </row>
    <row r="198">
      <c r="A198" t="inlineStr">
        <is>
          <t>Burpees</t>
        </is>
      </c>
      <c r="C198" t="n">
        <v>9</v>
      </c>
      <c r="D198">
        <f>IF(B198&gt;0, B198*CHOOSE(C198-4,0.80,0.84,0.88,0.92,0.96,1.00),"")</f>
        <v/>
      </c>
    </row>
    <row r="199">
      <c r="A199" t="inlineStr">
        <is>
          <t>Burpees</t>
        </is>
      </c>
      <c r="C199" t="n">
        <v>10</v>
      </c>
      <c r="D199">
        <f>IF(B199&gt;0, B199*CHOOSE(C199-4,0.80,0.84,0.88,0.92,0.96,1.00),"")</f>
        <v/>
      </c>
    </row>
    <row r="200">
      <c r="A200" t="inlineStr">
        <is>
          <t>HSPU</t>
        </is>
      </c>
      <c r="C200" t="n">
        <v>5</v>
      </c>
      <c r="D200">
        <f>IF(B200&gt;0, B200*CHOOSE(C200-4,0.80,0.84,0.88,0.92,0.96,1.00),"")</f>
        <v/>
      </c>
    </row>
    <row r="201">
      <c r="A201" t="inlineStr">
        <is>
          <t>HSPU</t>
        </is>
      </c>
      <c r="C201" t="n">
        <v>6</v>
      </c>
      <c r="D201">
        <f>IF(B201&gt;0, B201*CHOOSE(C201-4,0.80,0.84,0.88,0.92,0.96,1.00),"")</f>
        <v/>
      </c>
    </row>
    <row r="202">
      <c r="A202" t="inlineStr">
        <is>
          <t>HSPU</t>
        </is>
      </c>
      <c r="C202" t="n">
        <v>7</v>
      </c>
      <c r="D202">
        <f>IF(B202&gt;0, B202*CHOOSE(C202-4,0.80,0.84,0.88,0.92,0.96,1.00),"")</f>
        <v/>
      </c>
    </row>
    <row r="203">
      <c r="A203" t="inlineStr">
        <is>
          <t>HSPU</t>
        </is>
      </c>
      <c r="C203" t="n">
        <v>8</v>
      </c>
      <c r="D203">
        <f>IF(B203&gt;0, B203*CHOOSE(C203-4,0.80,0.84,0.88,0.92,0.96,1.00),"")</f>
        <v/>
      </c>
    </row>
    <row r="204">
      <c r="A204" t="inlineStr">
        <is>
          <t>HSPU</t>
        </is>
      </c>
      <c r="C204" t="n">
        <v>9</v>
      </c>
      <c r="D204">
        <f>IF(B204&gt;0, B204*CHOOSE(C204-4,0.80,0.84,0.88,0.92,0.96,1.00),"")</f>
        <v/>
      </c>
    </row>
    <row r="205">
      <c r="A205" t="inlineStr">
        <is>
          <t>HSPU</t>
        </is>
      </c>
      <c r="C205" t="n">
        <v>10</v>
      </c>
      <c r="D205">
        <f>IF(B205&gt;0, B205*CHOOSE(C205-4,0.80,0.84,0.88,0.92,0.96,1.00),"")</f>
        <v/>
      </c>
    </row>
    <row r="206">
      <c r="A206" t="inlineStr">
        <is>
          <t>MU</t>
        </is>
      </c>
      <c r="C206" t="n">
        <v>5</v>
      </c>
      <c r="D206">
        <f>IF(B206&gt;0, B206*CHOOSE(C206-4,0.80,0.84,0.88,0.92,0.96,1.00),"")</f>
        <v/>
      </c>
    </row>
    <row r="207">
      <c r="A207" t="inlineStr">
        <is>
          <t>MU</t>
        </is>
      </c>
      <c r="C207" t="n">
        <v>6</v>
      </c>
      <c r="D207">
        <f>IF(B207&gt;0, B207*CHOOSE(C207-4,0.80,0.84,0.88,0.92,0.96,1.00),"")</f>
        <v/>
      </c>
    </row>
    <row r="208">
      <c r="A208" t="inlineStr">
        <is>
          <t>MU</t>
        </is>
      </c>
      <c r="C208" t="n">
        <v>7</v>
      </c>
      <c r="D208">
        <f>IF(B208&gt;0, B208*CHOOSE(C208-4,0.80,0.84,0.88,0.92,0.96,1.00),"")</f>
        <v/>
      </c>
    </row>
    <row r="209">
      <c r="A209" t="inlineStr">
        <is>
          <t>MU</t>
        </is>
      </c>
      <c r="C209" t="n">
        <v>8</v>
      </c>
      <c r="D209">
        <f>IF(B209&gt;0, B209*CHOOSE(C209-4,0.80,0.84,0.88,0.92,0.96,1.00),"")</f>
        <v/>
      </c>
    </row>
    <row r="210">
      <c r="A210" t="inlineStr">
        <is>
          <t>MU</t>
        </is>
      </c>
      <c r="C210" t="n">
        <v>9</v>
      </c>
      <c r="D210">
        <f>IF(B210&gt;0, B210*CHOOSE(C210-4,0.80,0.84,0.88,0.92,0.96,1.00),"")</f>
        <v/>
      </c>
    </row>
    <row r="211">
      <c r="A211" t="inlineStr">
        <is>
          <t>MU</t>
        </is>
      </c>
      <c r="C211" t="n">
        <v>10</v>
      </c>
      <c r="D211">
        <f>IF(B211&gt;0, B211*CHOOSE(C211-4,0.80,0.84,0.88,0.92,0.96,1.00),"")</f>
        <v/>
      </c>
    </row>
    <row r="212">
      <c r="A212" t="inlineStr">
        <is>
          <t>Planche</t>
        </is>
      </c>
      <c r="C212" t="n">
        <v>5</v>
      </c>
      <c r="D212">
        <f>IF(B212&gt;0, B212*CHOOSE(C212-4,0.80,0.84,0.88,0.92,0.96,1.00),"")</f>
        <v/>
      </c>
    </row>
    <row r="213">
      <c r="A213" t="inlineStr">
        <is>
          <t>Planche</t>
        </is>
      </c>
      <c r="C213" t="n">
        <v>6</v>
      </c>
      <c r="D213">
        <f>IF(B213&gt;0, B213*CHOOSE(C213-4,0.80,0.84,0.88,0.92,0.96,1.00),"")</f>
        <v/>
      </c>
    </row>
    <row r="214">
      <c r="A214" t="inlineStr">
        <is>
          <t>Planche</t>
        </is>
      </c>
      <c r="C214" t="n">
        <v>7</v>
      </c>
      <c r="D214">
        <f>IF(B214&gt;0, B214*CHOOSE(C214-4,0.80,0.84,0.88,0.92,0.96,1.00),"")</f>
        <v/>
      </c>
    </row>
    <row r="215">
      <c r="A215" t="inlineStr">
        <is>
          <t>Planche</t>
        </is>
      </c>
      <c r="C215" t="n">
        <v>8</v>
      </c>
      <c r="D215">
        <f>IF(B215&gt;0, B215*CHOOSE(C215-4,0.80,0.84,0.88,0.92,0.96,1.00),"")</f>
        <v/>
      </c>
    </row>
    <row r="216">
      <c r="A216" t="inlineStr">
        <is>
          <t>Planche</t>
        </is>
      </c>
      <c r="C216" t="n">
        <v>9</v>
      </c>
      <c r="D216">
        <f>IF(B216&gt;0, B216*CHOOSE(C216-4,0.80,0.84,0.88,0.92,0.96,1.00),"")</f>
        <v/>
      </c>
    </row>
    <row r="217">
      <c r="A217" t="inlineStr">
        <is>
          <t>Planche</t>
        </is>
      </c>
      <c r="C217" t="n">
        <v>10</v>
      </c>
      <c r="D217">
        <f>IF(B217&gt;0, B217*CHOOSE(C217-4,0.80,0.84,0.88,0.92,0.96,1.00),"")</f>
        <v/>
      </c>
    </row>
    <row r="218">
      <c r="A218" t="inlineStr">
        <is>
          <t>Traction Lestée</t>
        </is>
      </c>
      <c r="C218" t="n">
        <v>5</v>
      </c>
      <c r="D218">
        <f>IF(B218&gt;0, B218*CHOOSE(C218-4,0.80,0.84,0.88,0.92,0.96,1.00),"")</f>
        <v/>
      </c>
    </row>
    <row r="219">
      <c r="A219" t="inlineStr">
        <is>
          <t>Traction Lestée</t>
        </is>
      </c>
      <c r="C219" t="n">
        <v>6</v>
      </c>
      <c r="D219">
        <f>IF(B219&gt;0, B219*CHOOSE(C219-4,0.80,0.84,0.88,0.92,0.96,1.00),"")</f>
        <v/>
      </c>
    </row>
    <row r="220">
      <c r="A220" t="inlineStr">
        <is>
          <t>Traction Lestée</t>
        </is>
      </c>
      <c r="C220" t="n">
        <v>7</v>
      </c>
      <c r="D220">
        <f>IF(B220&gt;0, B220*CHOOSE(C220-4,0.80,0.84,0.88,0.92,0.96,1.00),"")</f>
        <v/>
      </c>
    </row>
    <row r="221">
      <c r="A221" t="inlineStr">
        <is>
          <t>Traction Lestée</t>
        </is>
      </c>
      <c r="C221" t="n">
        <v>8</v>
      </c>
      <c r="D221">
        <f>IF(B221&gt;0, B221*CHOOSE(C221-4,0.80,0.84,0.88,0.92,0.96,1.00),"")</f>
        <v/>
      </c>
    </row>
    <row r="222">
      <c r="A222" t="inlineStr">
        <is>
          <t>Traction Lestée</t>
        </is>
      </c>
      <c r="C222" t="n">
        <v>9</v>
      </c>
      <c r="D222">
        <f>IF(B222&gt;0, B222*CHOOSE(C222-4,0.80,0.84,0.88,0.92,0.96,1.00),"")</f>
        <v/>
      </c>
    </row>
    <row r="223">
      <c r="A223" t="inlineStr">
        <is>
          <t>Traction Lestée</t>
        </is>
      </c>
      <c r="C223" t="n">
        <v>10</v>
      </c>
      <c r="D223">
        <f>IF(B223&gt;0, B223*CHOOSE(C223-4,0.80,0.84,0.88,0.92,0.96,1.00),"")</f>
        <v/>
      </c>
    </row>
    <row r="224">
      <c r="A224" t="inlineStr">
        <is>
          <t>Pompes Diamant</t>
        </is>
      </c>
      <c r="C224" t="n">
        <v>5</v>
      </c>
      <c r="D224">
        <f>IF(B224&gt;0, B224*CHOOSE(C224-4,0.80,0.84,0.88,0.92,0.96,1.00),"")</f>
        <v/>
      </c>
    </row>
    <row r="225">
      <c r="A225" t="inlineStr">
        <is>
          <t>Pompes Diamant</t>
        </is>
      </c>
      <c r="C225" t="n">
        <v>6</v>
      </c>
      <c r="D225">
        <f>IF(B225&gt;0, B225*CHOOSE(C225-4,0.80,0.84,0.88,0.92,0.96,1.00),"")</f>
        <v/>
      </c>
    </row>
    <row r="226">
      <c r="A226" t="inlineStr">
        <is>
          <t>Pompes Diamant</t>
        </is>
      </c>
      <c r="C226" t="n">
        <v>7</v>
      </c>
      <c r="D226">
        <f>IF(B226&gt;0, B226*CHOOSE(C226-4,0.80,0.84,0.88,0.92,0.96,1.00),"")</f>
        <v/>
      </c>
    </row>
    <row r="227">
      <c r="A227" t="inlineStr">
        <is>
          <t>Pompes Diamant</t>
        </is>
      </c>
      <c r="C227" t="n">
        <v>8</v>
      </c>
      <c r="D227">
        <f>IF(B227&gt;0, B227*CHOOSE(C227-4,0.80,0.84,0.88,0.92,0.96,1.00),"")</f>
        <v/>
      </c>
    </row>
    <row r="228">
      <c r="A228" t="inlineStr">
        <is>
          <t>Pompes Diamant</t>
        </is>
      </c>
      <c r="C228" t="n">
        <v>9</v>
      </c>
      <c r="D228">
        <f>IF(B228&gt;0, B228*CHOOSE(C228-4,0.80,0.84,0.88,0.92,0.96,1.00),"")</f>
        <v/>
      </c>
    </row>
    <row r="229">
      <c r="A229" t="inlineStr">
        <is>
          <t>Pompes Diamant</t>
        </is>
      </c>
      <c r="C229" t="n">
        <v>10</v>
      </c>
      <c r="D229">
        <f>IF(B229&gt;0, B229*CHOOSE(C229-4,0.80,0.84,0.88,0.92,0.96,1.00),"")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PR Value</t>
        </is>
      </c>
      <c r="C1" t="inlineStr">
        <is>
          <t>Type</t>
        </is>
      </c>
      <c r="D1" t="inlineStr">
        <is>
          <t>Notes</t>
        </is>
      </c>
    </row>
    <row r="2">
      <c r="A2" t="inlineStr">
        <is>
          <t>Squat (kg)</t>
        </is>
      </c>
      <c r="B2">
        <f>MAX('Données Force'!C2:C31)</f>
        <v/>
      </c>
      <c r="C2" t="inlineStr">
        <is>
          <t>Force</t>
        </is>
      </c>
    </row>
    <row r="3">
      <c r="A3" t="inlineStr">
        <is>
          <t>Bench (kg)</t>
        </is>
      </c>
      <c r="B3">
        <f>MAX('Données Force'!H2:H31)</f>
        <v/>
      </c>
      <c r="C3" t="inlineStr">
        <is>
          <t>Force</t>
        </is>
      </c>
    </row>
    <row r="4">
      <c r="A4" t="inlineStr">
        <is>
          <t>Deadlift (kg)</t>
        </is>
      </c>
      <c r="B4">
        <f>MAX('Données Force'!K2:K31)</f>
        <v/>
      </c>
      <c r="C4" t="inlineStr">
        <is>
          <t>Force</t>
        </is>
      </c>
    </row>
    <row r="5">
      <c r="A5" t="inlineStr">
        <is>
          <t>Traction Lestée (kg)</t>
        </is>
      </c>
      <c r="B5">
        <f>MAX('Données Force'!R2:R31)</f>
        <v/>
      </c>
      <c r="C5" t="inlineStr">
        <is>
          <t>Force</t>
        </is>
      </c>
    </row>
    <row r="6">
      <c r="A6" t="inlineStr">
        <is>
          <t>HSPU (reps)</t>
        </is>
      </c>
      <c r="B6">
        <f>MAX('Données Calisthénie'!B2:B31)</f>
        <v/>
      </c>
      <c r="C6" t="inlineStr">
        <is>
          <t>Calisthénie</t>
        </is>
      </c>
    </row>
    <row r="7">
      <c r="A7" t="inlineStr">
        <is>
          <t>MU (reps)</t>
        </is>
      </c>
      <c r="B7">
        <f>MAX('Données Calisthénie'!C2:C31)</f>
        <v/>
      </c>
      <c r="C7" t="inlineStr">
        <is>
          <t>Calisthénie</t>
        </is>
      </c>
    </row>
    <row r="8">
      <c r="A8" t="inlineStr">
        <is>
          <t>Planche (sec)</t>
        </is>
      </c>
      <c r="B8">
        <f>MAX('Données Calisthénie'!D2:D31)</f>
        <v/>
      </c>
      <c r="C8" t="inlineStr">
        <is>
          <t>Calisthénie</t>
        </is>
      </c>
    </row>
    <row r="9">
      <c r="A9" t="inlineStr">
        <is>
          <t>Box Jump (cm)</t>
        </is>
      </c>
      <c r="B9">
        <f>MAX('Données Calisthénie'!F2:F31)</f>
        <v/>
      </c>
      <c r="C9" t="inlineStr">
        <is>
          <t>Calisthénie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Exercice</t>
        </is>
      </c>
      <c r="C1" t="inlineStr">
        <is>
          <t>kg</t>
        </is>
      </c>
      <c r="D1" t="inlineStr">
        <is>
          <t>reps</t>
        </is>
      </c>
      <c r="E1" t="inlineStr">
        <is>
          <t>1RM Est (Epley)</t>
        </is>
      </c>
      <c r="F1" t="inlineStr">
        <is>
          <t>%1RM du jour</t>
        </is>
      </c>
      <c r="G1" t="inlineStr">
        <is>
          <t>RPE Théorique</t>
        </is>
      </c>
      <c r="H1" t="inlineStr">
        <is>
          <t>Objectif</t>
        </is>
      </c>
      <c r="I1" t="inlineStr">
        <is>
          <t>Target %1RM</t>
        </is>
      </c>
      <c r="J1" t="inlineStr">
        <is>
          <t>Charge Reco (kg)</t>
        </is>
      </c>
    </row>
    <row r="2">
      <c r="A2" t="n">
        <v>2</v>
      </c>
      <c r="B2" t="inlineStr">
        <is>
          <t>Squat</t>
        </is>
      </c>
      <c r="C2">
        <f>'Données Force'!C2</f>
        <v/>
      </c>
      <c r="D2">
        <f>'Données Force'!D2</f>
        <v/>
      </c>
      <c r="E2">
        <f>IF(AND('Données Force'!C2&gt;0,'Données Force'!D2&gt;0),'Données Force'!C2*(1+'Données Force'!D2/30),"")</f>
        <v/>
      </c>
      <c r="F2">
        <f>IFERROR(C2/E2,"")</f>
        <v/>
      </c>
      <c r="G2">
        <f>IF(F2="","",IF(F2&gt;=0.97,10,IF(F2&gt;=0.93,9,IF(F2&gt;=0.88,8,IF(F2&gt;=0.83,7,6)))))</f>
        <v/>
      </c>
      <c r="H2">
        <f>'Données Force'!B2</f>
        <v/>
      </c>
      <c r="I2">
        <f>IF(H2="","",IF(H2="Force",0.94,IF(H2="Power",0.65,IF(H2="Hypertrophy",0.80,IF(H2="Neural",0.90,0.80)))))</f>
        <v/>
      </c>
      <c r="J2">
        <f>IF(E2="","",ROUND(I2*E2,0))</f>
        <v/>
      </c>
    </row>
    <row r="3">
      <c r="A3" t="n">
        <v>2</v>
      </c>
      <c r="B3" t="inlineStr">
        <is>
          <t>Bench</t>
        </is>
      </c>
      <c r="C3">
        <f>'Données Force'!H2</f>
        <v/>
      </c>
      <c r="D3">
        <f>'Données Force'!I2</f>
        <v/>
      </c>
      <c r="E3">
        <f>IF(AND('Données Force'!H2&gt;0,'Données Force'!I2&gt;0),'Données Force'!H2*(1+'Données Force'!I2/30),"")</f>
        <v/>
      </c>
      <c r="F3">
        <f>IFERROR(C3/E3,"")</f>
        <v/>
      </c>
      <c r="G3">
        <f>IF(F3="","",IF(F3&gt;=0.97,10,IF(F3&gt;=0.93,9,IF(F3&gt;=0.88,8,IF(F3&gt;=0.83,7,6)))))</f>
        <v/>
      </c>
      <c r="H3">
        <f>'Données Force'!B2</f>
        <v/>
      </c>
      <c r="I3">
        <f>IF(H3="","",IF(H3="Force",0.94,IF(H3="Power",0.65,IF(H3="Hypertrophy",0.80,IF(H3="Neural",0.90,0.80)))))</f>
        <v/>
      </c>
      <c r="J3">
        <f>IF(E3="","",ROUND(I3*E3,0))</f>
        <v/>
      </c>
    </row>
    <row r="4">
      <c r="A4" t="n">
        <v>2</v>
      </c>
      <c r="B4" t="inlineStr">
        <is>
          <t>Deadlift</t>
        </is>
      </c>
      <c r="C4">
        <f>'Données Force'!K2</f>
        <v/>
      </c>
      <c r="D4">
        <f>'Données Force'!L2</f>
        <v/>
      </c>
      <c r="E4">
        <f>IF(AND('Données Force'!K2&gt;0,'Données Force'!L2&gt;0),'Données Force'!K2*(1+'Données Force'!L2/30),"")</f>
        <v/>
      </c>
      <c r="F4">
        <f>IFERROR(C4/E4,"")</f>
        <v/>
      </c>
      <c r="G4">
        <f>IF(F4="","",IF(F4&gt;=0.97,10,IF(F4&gt;=0.93,9,IF(F4&gt;=0.88,8,IF(F4&gt;=0.83,7,6)))))</f>
        <v/>
      </c>
      <c r="H4">
        <f>'Données Force'!B2</f>
        <v/>
      </c>
      <c r="I4">
        <f>IF(H4="","",IF(H4="Force",0.94,IF(H4="Power",0.65,IF(H4="Hypertrophy",0.80,IF(H4="Neural",0.90,0.80)))))</f>
        <v/>
      </c>
      <c r="J4">
        <f>IF(E4="","",ROUND(I4*E4,0))</f>
        <v/>
      </c>
    </row>
    <row r="5">
      <c r="A5" t="n">
        <v>2</v>
      </c>
      <c r="B5" t="inlineStr">
        <is>
          <t>Traction Lestée</t>
        </is>
      </c>
      <c r="C5">
        <f>'Données Force'!R2</f>
        <v/>
      </c>
      <c r="D5">
        <f>'Données Force'!S2</f>
        <v/>
      </c>
      <c r="E5">
        <f>IF(AND('Données Force'!R2&gt;0,'Données Force'!S2&gt;0),'Données Force'!R2*(1+'Données Force'!S2/30),"")</f>
        <v/>
      </c>
      <c r="F5">
        <f>IFERROR(C5/E5,"")</f>
        <v/>
      </c>
      <c r="G5">
        <f>IF(F5="","",IF(F5&gt;=0.97,10,IF(F5&gt;=0.93,9,IF(F5&gt;=0.88,8,IF(F5&gt;=0.83,7,6)))))</f>
        <v/>
      </c>
      <c r="H5">
        <f>'Données Force'!B2</f>
        <v/>
      </c>
      <c r="I5">
        <f>IF(H5="","",IF(H5="Force",0.94,IF(H5="Power",0.65,IF(H5="Hypertrophy",0.80,IF(H5="Neural",0.90,0.80)))))</f>
        <v/>
      </c>
      <c r="J5">
        <f>IF(E5="","",ROUND(I5*E5,0))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Session Volume (kg·reps)</t>
        </is>
      </c>
      <c r="C1" t="inlineStr">
        <is>
          <t>Calisth. Volume</t>
        </is>
      </c>
      <c r="D1" t="inlineStr">
        <is>
          <t>Weekly Volume (7 séances)</t>
        </is>
      </c>
      <c r="E1" t="inlineStr">
        <is>
          <t>Monotony (SD 7 séances)</t>
        </is>
      </c>
      <c r="F1" t="inlineStr">
        <is>
          <t>Strain (Vol*Mono)</t>
        </is>
      </c>
      <c r="G1" t="inlineStr">
        <is>
          <t>Risk Level (Elite)</t>
        </is>
      </c>
    </row>
    <row r="2">
      <c r="A2" t="n">
        <v>1</v>
      </c>
      <c r="B2">
        <f>'Données Force'!T2</f>
        <v/>
      </c>
      <c r="C2">
        <f>'Données Calisthénie'!G2</f>
        <v/>
      </c>
      <c r="D2">
        <f>SUM('Données Force'!T2:'Données Force'!T2)</f>
        <v/>
      </c>
      <c r="E2">
        <f>IF(COUNT('Données Force'!T2:'Données Force'!T2)&gt;1,STDEV.P('Données Force'!T2:'Données Force'!T2),0)</f>
        <v/>
      </c>
      <c r="F2">
        <f>D2*E2</f>
        <v/>
      </c>
      <c r="G2">
        <f>IF(F2="","",IF(F2&gt;100000,"High",IF(F2&gt;40000,"Medium","Low")))</f>
        <v/>
      </c>
    </row>
    <row r="3">
      <c r="A3" t="n">
        <v>2</v>
      </c>
      <c r="B3">
        <f>'Données Force'!T3</f>
        <v/>
      </c>
      <c r="C3">
        <f>'Données Calisthénie'!G3</f>
        <v/>
      </c>
      <c r="D3">
        <f>SUM('Données Force'!T2:'Données Force'!T3)</f>
        <v/>
      </c>
      <c r="E3">
        <f>IF(COUNT('Données Force'!T2:'Données Force'!T3)&gt;1,STDEV.P('Données Force'!T2:'Données Force'!T3),0)</f>
        <v/>
      </c>
      <c r="F3">
        <f>D3*E3</f>
        <v/>
      </c>
      <c r="G3">
        <f>IF(F3="","",IF(F3&gt;100000,"High",IF(F3&gt;40000,"Medium","Low")))</f>
        <v/>
      </c>
    </row>
    <row r="4">
      <c r="A4" t="n">
        <v>3</v>
      </c>
      <c r="B4">
        <f>'Données Force'!T4</f>
        <v/>
      </c>
      <c r="C4">
        <f>'Données Calisthénie'!G4</f>
        <v/>
      </c>
      <c r="D4">
        <f>SUM('Données Force'!T2:'Données Force'!T4)</f>
        <v/>
      </c>
      <c r="E4">
        <f>IF(COUNT('Données Force'!T2:'Données Force'!T4)&gt;1,STDEV.P('Données Force'!T2:'Données Force'!T4),0)</f>
        <v/>
      </c>
      <c r="F4">
        <f>D4*E4</f>
        <v/>
      </c>
      <c r="G4">
        <f>IF(F4="","",IF(F4&gt;100000,"High",IF(F4&gt;40000,"Medium","Low")))</f>
        <v/>
      </c>
    </row>
    <row r="5">
      <c r="A5" t="n">
        <v>4</v>
      </c>
      <c r="B5">
        <f>'Données Force'!T5</f>
        <v/>
      </c>
      <c r="C5">
        <f>'Données Calisthénie'!G5</f>
        <v/>
      </c>
      <c r="D5">
        <f>SUM('Données Force'!T2:'Données Force'!T5)</f>
        <v/>
      </c>
      <c r="E5">
        <f>IF(COUNT('Données Force'!T2:'Données Force'!T5)&gt;1,STDEV.P('Données Force'!T2:'Données Force'!T5),0)</f>
        <v/>
      </c>
      <c r="F5">
        <f>D5*E5</f>
        <v/>
      </c>
      <c r="G5">
        <f>IF(F5="","",IF(F5&gt;100000,"High",IF(F5&gt;40000,"Medium","Low")))</f>
        <v/>
      </c>
    </row>
    <row r="6">
      <c r="A6" t="n">
        <v>5</v>
      </c>
      <c r="B6">
        <f>'Données Force'!T6</f>
        <v/>
      </c>
      <c r="C6">
        <f>'Données Calisthénie'!G6</f>
        <v/>
      </c>
      <c r="D6">
        <f>SUM('Données Force'!T2:'Données Force'!T6)</f>
        <v/>
      </c>
      <c r="E6">
        <f>IF(COUNT('Données Force'!T2:'Données Force'!T6)&gt;1,STDEV.P('Données Force'!T2:'Données Force'!T6),0)</f>
        <v/>
      </c>
      <c r="F6">
        <f>D6*E6</f>
        <v/>
      </c>
      <c r="G6">
        <f>IF(F6="","",IF(F6&gt;100000,"High",IF(F6&gt;40000,"Medium","Low")))</f>
        <v/>
      </c>
    </row>
    <row r="7">
      <c r="A7" t="n">
        <v>6</v>
      </c>
      <c r="B7">
        <f>'Données Force'!T7</f>
        <v/>
      </c>
      <c r="C7">
        <f>'Données Calisthénie'!G7</f>
        <v/>
      </c>
      <c r="D7">
        <f>SUM('Données Force'!T2:'Données Force'!T7)</f>
        <v/>
      </c>
      <c r="E7">
        <f>IF(COUNT('Données Force'!T2:'Données Force'!T7)&gt;1,STDEV.P('Données Force'!T2:'Données Force'!T7),0)</f>
        <v/>
      </c>
      <c r="F7">
        <f>D7*E7</f>
        <v/>
      </c>
      <c r="G7">
        <f>IF(F7="","",IF(F7&gt;100000,"High",IF(F7&gt;40000,"Medium","Low")))</f>
        <v/>
      </c>
    </row>
    <row r="8">
      <c r="A8" t="n">
        <v>7</v>
      </c>
      <c r="B8">
        <f>'Données Force'!T8</f>
        <v/>
      </c>
      <c r="C8">
        <f>'Données Calisthénie'!G8</f>
        <v/>
      </c>
      <c r="D8">
        <f>SUM('Données Force'!T2:'Données Force'!T8)</f>
        <v/>
      </c>
      <c r="E8">
        <f>IF(COUNT('Données Force'!T2:'Données Force'!T8)&gt;1,STDEV.P('Données Force'!T2:'Données Force'!T8),0)</f>
        <v/>
      </c>
      <c r="F8">
        <f>D8*E8</f>
        <v/>
      </c>
      <c r="G8">
        <f>IF(F8="","",IF(F8&gt;100000,"High",IF(F8&gt;40000,"Medium","Low")))</f>
        <v/>
      </c>
    </row>
    <row r="9">
      <c r="A9" t="n">
        <v>8</v>
      </c>
      <c r="B9">
        <f>'Données Force'!T9</f>
        <v/>
      </c>
      <c r="C9">
        <f>'Données Calisthénie'!G9</f>
        <v/>
      </c>
      <c r="D9">
        <f>SUM('Données Force'!T3:'Données Force'!T9)</f>
        <v/>
      </c>
      <c r="E9">
        <f>IF(COUNT('Données Force'!T3:'Données Force'!T9)&gt;1,STDEV.P('Données Force'!T3:'Données Force'!T9),0)</f>
        <v/>
      </c>
      <c r="F9">
        <f>D9*E9</f>
        <v/>
      </c>
      <c r="G9">
        <f>IF(F9="","",IF(F9&gt;100000,"High",IF(F9&gt;40000,"Medium","Low")))</f>
        <v/>
      </c>
    </row>
    <row r="10">
      <c r="A10" t="n">
        <v>9</v>
      </c>
      <c r="B10">
        <f>'Données Force'!T10</f>
        <v/>
      </c>
      <c r="C10">
        <f>'Données Calisthénie'!G10</f>
        <v/>
      </c>
      <c r="D10">
        <f>SUM('Données Force'!T4:'Données Force'!T10)</f>
        <v/>
      </c>
      <c r="E10">
        <f>IF(COUNT('Données Force'!T4:'Données Force'!T10)&gt;1,STDEV.P('Données Force'!T4:'Données Force'!T10),0)</f>
        <v/>
      </c>
      <c r="F10">
        <f>D10*E10</f>
        <v/>
      </c>
      <c r="G10">
        <f>IF(F10="","",IF(F10&gt;100000,"High",IF(F10&gt;40000,"Medium","Low")))</f>
        <v/>
      </c>
    </row>
    <row r="11">
      <c r="A11" t="n">
        <v>10</v>
      </c>
      <c r="B11">
        <f>'Données Force'!T11</f>
        <v/>
      </c>
      <c r="C11">
        <f>'Données Calisthénie'!G11</f>
        <v/>
      </c>
      <c r="D11">
        <f>SUM('Données Force'!T5:'Données Force'!T11)</f>
        <v/>
      </c>
      <c r="E11">
        <f>IF(COUNT('Données Force'!T5:'Données Force'!T11)&gt;1,STDEV.P('Données Force'!T5:'Données Force'!T11),0)</f>
        <v/>
      </c>
      <c r="F11">
        <f>D11*E11</f>
        <v/>
      </c>
      <c r="G11">
        <f>IF(F11="","",IF(F11&gt;100000,"High",IF(F11&gt;40000,"Medium","Low")))</f>
        <v/>
      </c>
    </row>
    <row r="12">
      <c r="A12" t="n">
        <v>11</v>
      </c>
      <c r="B12">
        <f>'Données Force'!T12</f>
        <v/>
      </c>
      <c r="C12">
        <f>'Données Calisthénie'!G12</f>
        <v/>
      </c>
      <c r="D12">
        <f>SUM('Données Force'!T6:'Données Force'!T12)</f>
        <v/>
      </c>
      <c r="E12">
        <f>IF(COUNT('Données Force'!T6:'Données Force'!T12)&gt;1,STDEV.P('Données Force'!T6:'Données Force'!T12),0)</f>
        <v/>
      </c>
      <c r="F12">
        <f>D12*E12</f>
        <v/>
      </c>
      <c r="G12">
        <f>IF(F12="","",IF(F12&gt;100000,"High",IF(F12&gt;40000,"Medium","Low")))</f>
        <v/>
      </c>
    </row>
    <row r="13">
      <c r="A13" t="n">
        <v>12</v>
      </c>
      <c r="B13">
        <f>'Données Force'!T13</f>
        <v/>
      </c>
      <c r="C13">
        <f>'Données Calisthénie'!G13</f>
        <v/>
      </c>
      <c r="D13">
        <f>SUM('Données Force'!T7:'Données Force'!T13)</f>
        <v/>
      </c>
      <c r="E13">
        <f>IF(COUNT('Données Force'!T7:'Données Force'!T13)&gt;1,STDEV.P('Données Force'!T7:'Données Force'!T13),0)</f>
        <v/>
      </c>
      <c r="F13">
        <f>D13*E13</f>
        <v/>
      </c>
      <c r="G13">
        <f>IF(F13="","",IF(F13&gt;100000,"High",IF(F13&gt;40000,"Medium","Low")))</f>
        <v/>
      </c>
    </row>
    <row r="14">
      <c r="A14" t="n">
        <v>13</v>
      </c>
      <c r="B14">
        <f>'Données Force'!T14</f>
        <v/>
      </c>
      <c r="C14">
        <f>'Données Calisthénie'!G14</f>
        <v/>
      </c>
      <c r="D14">
        <f>SUM('Données Force'!T8:'Données Force'!T14)</f>
        <v/>
      </c>
      <c r="E14">
        <f>IF(COUNT('Données Force'!T8:'Données Force'!T14)&gt;1,STDEV.P('Données Force'!T8:'Données Force'!T14),0)</f>
        <v/>
      </c>
      <c r="F14">
        <f>D14*E14</f>
        <v/>
      </c>
      <c r="G14">
        <f>IF(F14="","",IF(F14&gt;100000,"High",IF(F14&gt;40000,"Medium","Low")))</f>
        <v/>
      </c>
    </row>
    <row r="15">
      <c r="A15" t="n">
        <v>14</v>
      </c>
      <c r="B15">
        <f>'Données Force'!T15</f>
        <v/>
      </c>
      <c r="C15">
        <f>'Données Calisthénie'!G15</f>
        <v/>
      </c>
      <c r="D15">
        <f>SUM('Données Force'!T9:'Données Force'!T15)</f>
        <v/>
      </c>
      <c r="E15">
        <f>IF(COUNT('Données Force'!T9:'Données Force'!T15)&gt;1,STDEV.P('Données Force'!T9:'Données Force'!T15),0)</f>
        <v/>
      </c>
      <c r="F15">
        <f>D15*E15</f>
        <v/>
      </c>
      <c r="G15">
        <f>IF(F15="","",IF(F15&gt;100000,"High",IF(F15&gt;40000,"Medium","Low")))</f>
        <v/>
      </c>
    </row>
    <row r="16">
      <c r="A16" t="n">
        <v>15</v>
      </c>
      <c r="B16">
        <f>'Données Force'!T16</f>
        <v/>
      </c>
      <c r="C16">
        <f>'Données Calisthénie'!G16</f>
        <v/>
      </c>
      <c r="D16">
        <f>SUM('Données Force'!T10:'Données Force'!T16)</f>
        <v/>
      </c>
      <c r="E16">
        <f>IF(COUNT('Données Force'!T10:'Données Force'!T16)&gt;1,STDEV.P('Données Force'!T10:'Données Force'!T16),0)</f>
        <v/>
      </c>
      <c r="F16">
        <f>D16*E16</f>
        <v/>
      </c>
      <c r="G16">
        <f>IF(F16="","",IF(F16&gt;100000,"High",IF(F16&gt;40000,"Medium","Low")))</f>
        <v/>
      </c>
    </row>
    <row r="17">
      <c r="A17" t="n">
        <v>16</v>
      </c>
      <c r="B17">
        <f>'Données Force'!T17</f>
        <v/>
      </c>
      <c r="C17">
        <f>'Données Calisthénie'!G17</f>
        <v/>
      </c>
      <c r="D17">
        <f>SUM('Données Force'!T11:'Données Force'!T17)</f>
        <v/>
      </c>
      <c r="E17">
        <f>IF(COUNT('Données Force'!T11:'Données Force'!T17)&gt;1,STDEV.P('Données Force'!T11:'Données Force'!T17),0)</f>
        <v/>
      </c>
      <c r="F17">
        <f>D17*E17</f>
        <v/>
      </c>
      <c r="G17">
        <f>IF(F17="","",IF(F17&gt;100000,"High",IF(F17&gt;40000,"Medium","Low")))</f>
        <v/>
      </c>
    </row>
    <row r="18">
      <c r="A18" t="n">
        <v>17</v>
      </c>
      <c r="B18">
        <f>'Données Force'!T18</f>
        <v/>
      </c>
      <c r="C18">
        <f>'Données Calisthénie'!G18</f>
        <v/>
      </c>
      <c r="D18">
        <f>SUM('Données Force'!T12:'Données Force'!T18)</f>
        <v/>
      </c>
      <c r="E18">
        <f>IF(COUNT('Données Force'!T12:'Données Force'!T18)&gt;1,STDEV.P('Données Force'!T12:'Données Force'!T18),0)</f>
        <v/>
      </c>
      <c r="F18">
        <f>D18*E18</f>
        <v/>
      </c>
      <c r="G18">
        <f>IF(F18="","",IF(F18&gt;100000,"High",IF(F18&gt;40000,"Medium","Low")))</f>
        <v/>
      </c>
    </row>
    <row r="19">
      <c r="A19" t="n">
        <v>18</v>
      </c>
      <c r="B19">
        <f>'Données Force'!T19</f>
        <v/>
      </c>
      <c r="C19">
        <f>'Données Calisthénie'!G19</f>
        <v/>
      </c>
      <c r="D19">
        <f>SUM('Données Force'!T13:'Données Force'!T19)</f>
        <v/>
      </c>
      <c r="E19">
        <f>IF(COUNT('Données Force'!T13:'Données Force'!T19)&gt;1,STDEV.P('Données Force'!T13:'Données Force'!T19),0)</f>
        <v/>
      </c>
      <c r="F19">
        <f>D19*E19</f>
        <v/>
      </c>
      <c r="G19">
        <f>IF(F19="","",IF(F19&gt;100000,"High",IF(F19&gt;40000,"Medium","Low")))</f>
        <v/>
      </c>
    </row>
    <row r="20">
      <c r="A20" t="n">
        <v>19</v>
      </c>
      <c r="B20">
        <f>'Données Force'!T20</f>
        <v/>
      </c>
      <c r="C20">
        <f>'Données Calisthénie'!G20</f>
        <v/>
      </c>
      <c r="D20">
        <f>SUM('Données Force'!T14:'Données Force'!T20)</f>
        <v/>
      </c>
      <c r="E20">
        <f>IF(COUNT('Données Force'!T14:'Données Force'!T20)&gt;1,STDEV.P('Données Force'!T14:'Données Force'!T20),0)</f>
        <v/>
      </c>
      <c r="F20">
        <f>D20*E20</f>
        <v/>
      </c>
      <c r="G20">
        <f>IF(F20="","",IF(F20&gt;100000,"High",IF(F20&gt;40000,"Medium","Low")))</f>
        <v/>
      </c>
    </row>
    <row r="21">
      <c r="A21" t="n">
        <v>20</v>
      </c>
      <c r="B21">
        <f>'Données Force'!T21</f>
        <v/>
      </c>
      <c r="C21">
        <f>'Données Calisthénie'!G21</f>
        <v/>
      </c>
      <c r="D21">
        <f>SUM('Données Force'!T15:'Données Force'!T21)</f>
        <v/>
      </c>
      <c r="E21">
        <f>IF(COUNT('Données Force'!T15:'Données Force'!T21)&gt;1,STDEV.P('Données Force'!T15:'Données Force'!T21),0)</f>
        <v/>
      </c>
      <c r="F21">
        <f>D21*E21</f>
        <v/>
      </c>
      <c r="G21">
        <f>IF(F21="","",IF(F21&gt;100000,"High",IF(F21&gt;40000,"Medium","Low")))</f>
        <v/>
      </c>
    </row>
    <row r="22">
      <c r="A22" t="n">
        <v>21</v>
      </c>
      <c r="B22">
        <f>'Données Force'!T22</f>
        <v/>
      </c>
      <c r="C22">
        <f>'Données Calisthénie'!G22</f>
        <v/>
      </c>
      <c r="D22">
        <f>SUM('Données Force'!T16:'Données Force'!T22)</f>
        <v/>
      </c>
      <c r="E22">
        <f>IF(COUNT('Données Force'!T16:'Données Force'!T22)&gt;1,STDEV.P('Données Force'!T16:'Données Force'!T22),0)</f>
        <v/>
      </c>
      <c r="F22">
        <f>D22*E22</f>
        <v/>
      </c>
      <c r="G22">
        <f>IF(F22="","",IF(F22&gt;100000,"High",IF(F22&gt;40000,"Medium","Low")))</f>
        <v/>
      </c>
    </row>
    <row r="23">
      <c r="A23" t="n">
        <v>22</v>
      </c>
      <c r="B23">
        <f>'Données Force'!T23</f>
        <v/>
      </c>
      <c r="C23">
        <f>'Données Calisthénie'!G23</f>
        <v/>
      </c>
      <c r="D23">
        <f>SUM('Données Force'!T17:'Données Force'!T23)</f>
        <v/>
      </c>
      <c r="E23">
        <f>IF(COUNT('Données Force'!T17:'Données Force'!T23)&gt;1,STDEV.P('Données Force'!T17:'Données Force'!T23),0)</f>
        <v/>
      </c>
      <c r="F23">
        <f>D23*E23</f>
        <v/>
      </c>
      <c r="G23">
        <f>IF(F23="","",IF(F23&gt;100000,"High",IF(F23&gt;40000,"Medium","Low")))</f>
        <v/>
      </c>
    </row>
    <row r="24">
      <c r="A24" t="n">
        <v>23</v>
      </c>
      <c r="B24">
        <f>'Données Force'!T24</f>
        <v/>
      </c>
      <c r="C24">
        <f>'Données Calisthénie'!G24</f>
        <v/>
      </c>
      <c r="D24">
        <f>SUM('Données Force'!T18:'Données Force'!T24)</f>
        <v/>
      </c>
      <c r="E24">
        <f>IF(COUNT('Données Force'!T18:'Données Force'!T24)&gt;1,STDEV.P('Données Force'!T18:'Données Force'!T24),0)</f>
        <v/>
      </c>
      <c r="F24">
        <f>D24*E24</f>
        <v/>
      </c>
      <c r="G24">
        <f>IF(F24="","",IF(F24&gt;100000,"High",IF(F24&gt;40000,"Medium","Low")))</f>
        <v/>
      </c>
    </row>
    <row r="25">
      <c r="A25" t="n">
        <v>24</v>
      </c>
      <c r="B25">
        <f>'Données Force'!T25</f>
        <v/>
      </c>
      <c r="C25">
        <f>'Données Calisthénie'!G25</f>
        <v/>
      </c>
      <c r="D25">
        <f>SUM('Données Force'!T19:'Données Force'!T25)</f>
        <v/>
      </c>
      <c r="E25">
        <f>IF(COUNT('Données Force'!T19:'Données Force'!T25)&gt;1,STDEV.P('Données Force'!T19:'Données Force'!T25),0)</f>
        <v/>
      </c>
      <c r="F25">
        <f>D25*E25</f>
        <v/>
      </c>
      <c r="G25">
        <f>IF(F25="","",IF(F25&gt;100000,"High",IF(F25&gt;40000,"Medium","Low")))</f>
        <v/>
      </c>
    </row>
    <row r="26">
      <c r="A26" t="n">
        <v>25</v>
      </c>
      <c r="B26">
        <f>'Données Force'!T26</f>
        <v/>
      </c>
      <c r="C26">
        <f>'Données Calisthénie'!G26</f>
        <v/>
      </c>
      <c r="D26">
        <f>SUM('Données Force'!T20:'Données Force'!T26)</f>
        <v/>
      </c>
      <c r="E26">
        <f>IF(COUNT('Données Force'!T20:'Données Force'!T26)&gt;1,STDEV.P('Données Force'!T20:'Données Force'!T26),0)</f>
        <v/>
      </c>
      <c r="F26">
        <f>D26*E26</f>
        <v/>
      </c>
      <c r="G26">
        <f>IF(F26="","",IF(F26&gt;100000,"High",IF(F26&gt;40000,"Medium","Low")))</f>
        <v/>
      </c>
    </row>
    <row r="27">
      <c r="A27" t="n">
        <v>26</v>
      </c>
      <c r="B27">
        <f>'Données Force'!T27</f>
        <v/>
      </c>
      <c r="C27">
        <f>'Données Calisthénie'!G27</f>
        <v/>
      </c>
      <c r="D27">
        <f>SUM('Données Force'!T21:'Données Force'!T27)</f>
        <v/>
      </c>
      <c r="E27">
        <f>IF(COUNT('Données Force'!T21:'Données Force'!T27)&gt;1,STDEV.P('Données Force'!T21:'Données Force'!T27),0)</f>
        <v/>
      </c>
      <c r="F27">
        <f>D27*E27</f>
        <v/>
      </c>
      <c r="G27">
        <f>IF(F27="","",IF(F27&gt;100000,"High",IF(F27&gt;40000,"Medium","Low")))</f>
        <v/>
      </c>
    </row>
    <row r="28">
      <c r="A28" t="n">
        <v>27</v>
      </c>
      <c r="B28">
        <f>'Données Force'!T28</f>
        <v/>
      </c>
      <c r="C28">
        <f>'Données Calisthénie'!G28</f>
        <v/>
      </c>
      <c r="D28">
        <f>SUM('Données Force'!T22:'Données Force'!T28)</f>
        <v/>
      </c>
      <c r="E28">
        <f>IF(COUNT('Données Force'!T22:'Données Force'!T28)&gt;1,STDEV.P('Données Force'!T22:'Données Force'!T28),0)</f>
        <v/>
      </c>
      <c r="F28">
        <f>D28*E28</f>
        <v/>
      </c>
      <c r="G28">
        <f>IF(F28="","",IF(F28&gt;100000,"High",IF(F28&gt;40000,"Medium","Low")))</f>
        <v/>
      </c>
    </row>
    <row r="29">
      <c r="A29" t="n">
        <v>28</v>
      </c>
      <c r="B29">
        <f>'Données Force'!T29</f>
        <v/>
      </c>
      <c r="C29">
        <f>'Données Calisthénie'!G29</f>
        <v/>
      </c>
      <c r="D29">
        <f>SUM('Données Force'!T23:'Données Force'!T29)</f>
        <v/>
      </c>
      <c r="E29">
        <f>IF(COUNT('Données Force'!T23:'Données Force'!T29)&gt;1,STDEV.P('Données Force'!T23:'Données Force'!T29),0)</f>
        <v/>
      </c>
      <c r="F29">
        <f>D29*E29</f>
        <v/>
      </c>
      <c r="G29">
        <f>IF(F29="","",IF(F29&gt;100000,"High",IF(F29&gt;40000,"Medium","Low")))</f>
        <v/>
      </c>
    </row>
    <row r="30">
      <c r="A30" t="n">
        <v>29</v>
      </c>
      <c r="B30">
        <f>'Données Force'!T30</f>
        <v/>
      </c>
      <c r="C30">
        <f>'Données Calisthénie'!G30</f>
        <v/>
      </c>
      <c r="D30">
        <f>SUM('Données Force'!T24:'Données Force'!T30)</f>
        <v/>
      </c>
      <c r="E30">
        <f>IF(COUNT('Données Force'!T24:'Données Force'!T30)&gt;1,STDEV.P('Données Force'!T24:'Données Force'!T30),0)</f>
        <v/>
      </c>
      <c r="F30">
        <f>D30*E30</f>
        <v/>
      </c>
      <c r="G30">
        <f>IF(F30="","",IF(F30&gt;100000,"High",IF(F30&gt;40000,"Medium","Low")))</f>
        <v/>
      </c>
    </row>
    <row r="31">
      <c r="A31" t="n">
        <v>30</v>
      </c>
      <c r="B31">
        <f>'Données Force'!T31</f>
        <v/>
      </c>
      <c r="C31">
        <f>'Données Calisthénie'!G31</f>
        <v/>
      </c>
      <c r="D31">
        <f>SUM('Données Force'!T25:'Données Force'!T31)</f>
        <v/>
      </c>
      <c r="E31">
        <f>IF(COUNT('Données Force'!T25:'Données Force'!T31)&gt;1,STDEV.P('Données Force'!T25:'Données Force'!T31),0)</f>
        <v/>
      </c>
      <c r="F31">
        <f>D31*E31</f>
        <v/>
      </c>
      <c r="G31">
        <f>IF(F31="","",IF(F31&gt;100000,"High",IF(F31&gt;40000,"Medium","Low")))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</t>
        </is>
      </c>
      <c r="B1" t="inlineStr">
        <is>
          <t>Sommeil (0-10)</t>
        </is>
      </c>
      <c r="C1" t="inlineStr">
        <is>
          <t>Hydratation (0-10)</t>
        </is>
      </c>
      <c r="D1" t="inlineStr">
        <is>
          <t>Nutrition (0-10)</t>
        </is>
      </c>
      <c r="E1" t="inlineStr">
        <is>
          <t>Stress (0-10)</t>
        </is>
      </c>
      <c r="F1" t="inlineStr">
        <is>
          <t>Concentration (0-10)</t>
        </is>
      </c>
      <c r="G1" t="inlineStr">
        <is>
          <t>Énergie (0-10)</t>
        </is>
      </c>
      <c r="H1" t="inlineStr">
        <is>
          <t>Humeur (0-10)</t>
        </is>
      </c>
      <c r="I1" t="inlineStr">
        <is>
          <t>Readiness (0-100)</t>
        </is>
      </c>
    </row>
    <row r="2">
      <c r="A2" t="n">
        <v>1</v>
      </c>
      <c r="I2">
        <f>AVERAGE(B2:H2)*10</f>
        <v/>
      </c>
    </row>
    <row r="3">
      <c r="A3" t="n">
        <v>2</v>
      </c>
      <c r="I3">
        <f>AVERAGE(B3:H3)*10</f>
        <v/>
      </c>
    </row>
    <row r="4">
      <c r="A4" t="n">
        <v>3</v>
      </c>
      <c r="I4">
        <f>AVERAGE(B4:H4)*10</f>
        <v/>
      </c>
    </row>
    <row r="5">
      <c r="A5" t="n">
        <v>4</v>
      </c>
      <c r="I5">
        <f>AVERAGE(B5:H5)*10</f>
        <v/>
      </c>
    </row>
    <row r="6">
      <c r="A6" t="n">
        <v>5</v>
      </c>
      <c r="I6">
        <f>AVERAGE(B6:H6)*10</f>
        <v/>
      </c>
    </row>
    <row r="7">
      <c r="A7" t="n">
        <v>6</v>
      </c>
      <c r="I7">
        <f>AVERAGE(B7:H7)*10</f>
        <v/>
      </c>
    </row>
    <row r="8">
      <c r="A8" t="n">
        <v>7</v>
      </c>
      <c r="I8">
        <f>AVERAGE(B8:H8)*10</f>
        <v/>
      </c>
    </row>
    <row r="9">
      <c r="A9" t="n">
        <v>8</v>
      </c>
      <c r="I9">
        <f>AVERAGE(B9:H9)*10</f>
        <v/>
      </c>
    </row>
    <row r="10">
      <c r="A10" t="n">
        <v>9</v>
      </c>
      <c r="I10">
        <f>AVERAGE(B10:H10)*10</f>
        <v/>
      </c>
    </row>
    <row r="11">
      <c r="A11" t="n">
        <v>10</v>
      </c>
      <c r="I11">
        <f>AVERAGE(B11:H11)*10</f>
        <v/>
      </c>
    </row>
    <row r="12">
      <c r="A12" t="n">
        <v>11</v>
      </c>
      <c r="I12">
        <f>AVERAGE(B12:H12)*10</f>
        <v/>
      </c>
    </row>
    <row r="13">
      <c r="A13" t="n">
        <v>12</v>
      </c>
      <c r="I13">
        <f>AVERAGE(B13:H13)*10</f>
        <v/>
      </c>
    </row>
    <row r="14">
      <c r="A14" t="n">
        <v>13</v>
      </c>
      <c r="I14">
        <f>AVERAGE(B14:H14)*10</f>
        <v/>
      </c>
    </row>
    <row r="15">
      <c r="A15" t="n">
        <v>14</v>
      </c>
      <c r="I15">
        <f>AVERAGE(B15:H15)*10</f>
        <v/>
      </c>
    </row>
    <row r="16">
      <c r="A16" t="n">
        <v>15</v>
      </c>
      <c r="I16">
        <f>AVERAGE(B16:H16)*10</f>
        <v/>
      </c>
    </row>
    <row r="17">
      <c r="A17" t="n">
        <v>16</v>
      </c>
      <c r="I17">
        <f>AVERAGE(B17:H17)*10</f>
        <v/>
      </c>
    </row>
    <row r="18">
      <c r="A18" t="n">
        <v>17</v>
      </c>
      <c r="I18">
        <f>AVERAGE(B18:H18)*10</f>
        <v/>
      </c>
    </row>
    <row r="19">
      <c r="A19" t="n">
        <v>18</v>
      </c>
      <c r="I19">
        <f>AVERAGE(B19:H19)*10</f>
        <v/>
      </c>
    </row>
    <row r="20">
      <c r="A20" t="n">
        <v>19</v>
      </c>
      <c r="I20">
        <f>AVERAGE(B20:H20)*10</f>
        <v/>
      </c>
    </row>
    <row r="21">
      <c r="A21" t="n">
        <v>20</v>
      </c>
      <c r="I21">
        <f>AVERAGE(B21:H21)*10</f>
        <v/>
      </c>
    </row>
    <row r="22">
      <c r="A22" t="n">
        <v>21</v>
      </c>
      <c r="I22">
        <f>AVERAGE(B22:H22)*10</f>
        <v/>
      </c>
    </row>
    <row r="23">
      <c r="A23" t="n">
        <v>22</v>
      </c>
      <c r="I23">
        <f>AVERAGE(B23:H23)*10</f>
        <v/>
      </c>
    </row>
    <row r="24">
      <c r="A24" t="n">
        <v>23</v>
      </c>
      <c r="I24">
        <f>AVERAGE(B24:H24)*10</f>
        <v/>
      </c>
    </row>
    <row r="25">
      <c r="A25" t="n">
        <v>24</v>
      </c>
      <c r="I25">
        <f>AVERAGE(B25:H25)*10</f>
        <v/>
      </c>
    </row>
    <row r="26">
      <c r="A26" t="n">
        <v>25</v>
      </c>
      <c r="I26">
        <f>AVERAGE(B26:H26)*10</f>
        <v/>
      </c>
    </row>
    <row r="27">
      <c r="A27" t="n">
        <v>26</v>
      </c>
      <c r="I27">
        <f>AVERAGE(B27:H27)*10</f>
        <v/>
      </c>
    </row>
    <row r="28">
      <c r="A28" t="n">
        <v>27</v>
      </c>
      <c r="I28">
        <f>AVERAGE(B28:H28)*10</f>
        <v/>
      </c>
    </row>
    <row r="29">
      <c r="A29" t="n">
        <v>28</v>
      </c>
      <c r="I29">
        <f>AVERAGE(B29:H29)*10</f>
        <v/>
      </c>
    </row>
    <row r="30">
      <c r="A30" t="n">
        <v>29</v>
      </c>
      <c r="I30">
        <f>AVERAGE(B30:H30)*10</f>
        <v/>
      </c>
    </row>
    <row r="31">
      <c r="A31" t="n">
        <v>30</v>
      </c>
      <c r="I31">
        <f>AVERAGE(B31:H31)*10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PR</t>
        </is>
      </c>
      <c r="C1" t="inlineStr">
        <is>
          <t>Catégorie</t>
        </is>
      </c>
      <c r="D1" t="inlineStr">
        <is>
          <t>Score Normalisé (0-100)</t>
        </is>
      </c>
      <c r="F1" t="inlineStr">
        <is>
          <t>Score Global SAH</t>
        </is>
      </c>
    </row>
    <row r="2">
      <c r="A2" t="inlineStr">
        <is>
          <t>Squat (kg)</t>
        </is>
      </c>
      <c r="B2">
        <f>INDEX('PR Automatiques'!B:B,MATCH(A2,'PR Automatiques'!A:A,0))</f>
        <v/>
      </c>
      <c r="C2" t="inlineStr">
        <is>
          <t>Force</t>
        </is>
      </c>
      <c r="F2">
        <f>0.35*AVERAGEIF(C2:C9,"Force",D2:D9)+0.35*AVERAGEIF(C2:C9,"Explosivité",D2:D9)+0.10*AVERAGEIF(C2:C9,"Endurance",D2:D9)+0.20*AVERAGEIF(C2:C9,"Puissance Nerveuse",D2:D9)</f>
        <v/>
      </c>
    </row>
    <row r="3">
      <c r="A3" t="inlineStr">
        <is>
          <t>Bench (kg)</t>
        </is>
      </c>
      <c r="B3">
        <f>INDEX('PR Automatiques'!B:B,MATCH(A3,'PR Automatiques'!A:A,0))</f>
        <v/>
      </c>
      <c r="C3" t="inlineStr">
        <is>
          <t>Force</t>
        </is>
      </c>
    </row>
    <row r="4">
      <c r="A4" t="inlineStr">
        <is>
          <t>Deadlift (kg)</t>
        </is>
      </c>
      <c r="B4">
        <f>INDEX('PR Automatiques'!B:B,MATCH(A4,'PR Automatiques'!A:A,0))</f>
        <v/>
      </c>
      <c r="C4" t="inlineStr">
        <is>
          <t>Force</t>
        </is>
      </c>
    </row>
    <row r="5">
      <c r="A5" t="inlineStr">
        <is>
          <t>Traction Lestée (kg)</t>
        </is>
      </c>
      <c r="B5">
        <f>INDEX('PR Automatiques'!B:B,MATCH(A5,'PR Automatiques'!A:A,0))</f>
        <v/>
      </c>
      <c r="C5" t="inlineStr">
        <is>
          <t>Explosivité</t>
        </is>
      </c>
    </row>
    <row r="6">
      <c r="A6" t="inlineStr">
        <is>
          <t>HSPU (reps)</t>
        </is>
      </c>
      <c r="B6">
        <f>INDEX('PR Automatiques'!B:B,MATCH(A6,'PR Automatiques'!A:A,0))</f>
        <v/>
      </c>
      <c r="C6" t="inlineStr">
        <is>
          <t>Explosivité</t>
        </is>
      </c>
    </row>
    <row r="7">
      <c r="A7" t="inlineStr">
        <is>
          <t>MU (reps)</t>
        </is>
      </c>
      <c r="B7">
        <f>INDEX('PR Automatiques'!B:B,MATCH(A7,'PR Automatiques'!A:A,0))</f>
        <v/>
      </c>
      <c r="C7" t="inlineStr">
        <is>
          <t>Explosivité</t>
        </is>
      </c>
    </row>
    <row r="8">
      <c r="A8" t="inlineStr">
        <is>
          <t>Planche (sec)</t>
        </is>
      </c>
      <c r="B8">
        <f>INDEX('PR Automatiques'!B:B,MATCH(A8,'PR Automatiques'!A:A,0))</f>
        <v/>
      </c>
      <c r="C8" t="inlineStr">
        <is>
          <t>Puissance Nerveuse</t>
        </is>
      </c>
    </row>
    <row r="9">
      <c r="A9" t="inlineStr">
        <is>
          <t>Box Jump (cm)</t>
        </is>
      </c>
      <c r="B9">
        <f>INDEX('PR Automatiques'!B:B,MATCH(A9,'PR Automatiques'!A:A,0))</f>
        <v/>
      </c>
      <c r="C9" t="inlineStr">
        <is>
          <t>Explosivité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Readiness</t>
        </is>
      </c>
      <c r="B1" t="inlineStr">
        <is>
          <t>Fatigue</t>
        </is>
      </c>
      <c r="C1" t="inlineStr">
        <is>
          <t>Suggestion</t>
        </is>
      </c>
    </row>
    <row r="2">
      <c r="A2">
        <f>AVERAGE('Lifestyle'!I2:I31)</f>
        <v/>
      </c>
      <c r="B2">
        <f>AVERAGE('Fatigue &amp; Readiness'!F2:F31)</f>
        <v/>
      </c>
      <c r="C2">
        <f>IF(A2&gt;80,"Heavy Day",IF(A2&gt;60,"Technique / Speed",IF(A2&gt;40,"Hypertrophy",IF(A2&gt;20,"Calisthénie Only","Rest / Mobility"))))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MICRO-CYCLE PEAK PERFORMANCE (7 jours)</t>
        </is>
      </c>
    </row>
    <row r="3"/>
    <row r="4">
      <c r="A4" t="inlineStr">
        <is>
          <t>Jour 1 — Activation Nerveuse + Explosivité</t>
        </is>
      </c>
    </row>
    <row r="5">
      <c r="A5" t="inlineStr">
        <is>
          <t>HSPU 6×2, MU 5×1, Planche 6×10s</t>
        </is>
      </c>
    </row>
    <row r="6">
      <c r="A6" t="inlineStr">
        <is>
          <t>Box Jump 6×2, Sprints 20m</t>
        </is>
      </c>
    </row>
    <row r="7">
      <c r="A7" t="inlineStr">
        <is>
          <t>Squat 3×2, Bench 3×2, Traction Lestée 3×2</t>
        </is>
      </c>
    </row>
    <row r="8"/>
    <row r="9">
      <c r="A9" t="inlineStr">
        <is>
          <t>Jour 2 — Technique + Vitesse</t>
        </is>
      </c>
    </row>
    <row r="10">
      <c r="A10" t="inlineStr">
        <is>
          <t>HSPU negatives, MU transitions</t>
        </is>
      </c>
    </row>
    <row r="11">
      <c r="A11" t="inlineStr">
        <is>
          <t>Clapping push-ups, Kipping pulls</t>
        </is>
      </c>
    </row>
    <row r="12">
      <c r="A12" t="inlineStr">
        <is>
          <t>Deadlift 2×2, Rowing explosif 3×3</t>
        </is>
      </c>
    </row>
    <row r="13"/>
    <row r="14">
      <c r="A14" t="inlineStr">
        <is>
          <t>Jour 3 — Rest/Mobilité</t>
        </is>
      </c>
    </row>
    <row r="15"/>
    <row r="16">
      <c r="A16" t="inlineStr">
        <is>
          <t>Jour 4 — Peak Legs</t>
        </is>
      </c>
    </row>
    <row r="17">
      <c r="A17" t="inlineStr">
        <is>
          <t>Pistol squat, Broad jump, Sprints</t>
        </is>
      </c>
    </row>
    <row r="18">
      <c r="A18" t="inlineStr">
        <is>
          <t>Front squat 3×1, RDL 2×2</t>
        </is>
      </c>
    </row>
    <row r="19"/>
    <row r="20">
      <c r="A20" t="inlineStr">
        <is>
          <t>Jour 5 — Peak Upper Body</t>
        </is>
      </c>
    </row>
    <row r="21">
      <c r="A21" t="inlineStr">
        <is>
          <t>HSPU freestanding, MU explosifs</t>
        </is>
      </c>
    </row>
    <row r="22">
      <c r="A22" t="inlineStr">
        <is>
          <t>OHP 3×1, Traction lestée lourde</t>
        </is>
      </c>
    </row>
    <row r="23">
      <c r="A23" t="inlineStr">
        <is>
          <t>Med-ball throws</t>
        </is>
      </c>
    </row>
    <row r="24"/>
    <row r="25">
      <c r="A25" t="inlineStr">
        <is>
          <t>Jour 6 — Low Intensity Flow</t>
        </is>
      </c>
    </row>
    <row r="26"/>
    <row r="27">
      <c r="A27" t="inlineStr">
        <is>
          <t>Jour 7 — Peak Test (max 2 tests lourds)</t>
        </is>
      </c>
    </row>
    <row r="28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Objectif Principal</t>
        </is>
      </c>
      <c r="C1" t="inlineStr">
        <is>
          <t>Type de Mésocycle</t>
        </is>
      </c>
      <c r="D1" t="inlineStr">
        <is>
          <t>Focus Force</t>
        </is>
      </c>
      <c r="E1" t="inlineStr">
        <is>
          <t>Focus Explosivité</t>
        </is>
      </c>
      <c r="F1" t="inlineStr">
        <is>
          <t>Focus Skill</t>
        </is>
      </c>
      <c r="G1" t="inlineStr">
        <is>
          <t>Volume Cible</t>
        </is>
      </c>
      <c r="H1" t="inlineStr">
        <is>
          <t>Intensité Cible</t>
        </is>
      </c>
      <c r="I1" t="inlineStr">
        <is>
          <t>Notes</t>
        </is>
      </c>
    </row>
    <row r="2">
      <c r="A2" t="inlineStr">
        <is>
          <t>Janvier</t>
        </is>
      </c>
      <c r="C2">
        <f>IF(OR(ROW()=2,ROW()=3,ROW()=4),"Accumulation",IF(ROW()=5,"Peak",IF(ROW()=6,"Deload","Accumulation")))</f>
        <v/>
      </c>
    </row>
    <row r="3">
      <c r="A3" t="inlineStr">
        <is>
          <t>Février</t>
        </is>
      </c>
      <c r="C3">
        <f>IF(OR(ROW()=2,ROW()=3,ROW()=4),"Accumulation",IF(ROW()=5,"Peak",IF(ROW()=6,"Deload","Accumulation")))</f>
        <v/>
      </c>
    </row>
    <row r="4">
      <c r="A4" t="inlineStr">
        <is>
          <t>Mars</t>
        </is>
      </c>
      <c r="C4">
        <f>IF(OR(ROW()=2,ROW()=3,ROW()=4),"Accumulation",IF(ROW()=5,"Peak",IF(ROW()=6,"Deload","Accumulation")))</f>
        <v/>
      </c>
    </row>
    <row r="5">
      <c r="A5" t="inlineStr">
        <is>
          <t>Avril</t>
        </is>
      </c>
      <c r="C5">
        <f>IF(OR(ROW()=2,ROW()=3,ROW()=4),"Accumulation",IF(ROW()=5,"Peak",IF(ROW()=6,"Deload","Accumulation")))</f>
        <v/>
      </c>
    </row>
    <row r="6">
      <c r="A6" t="inlineStr">
        <is>
          <t>Mai</t>
        </is>
      </c>
      <c r="C6">
        <f>IF(OR(ROW()=2,ROW()=3,ROW()=4),"Accumulation",IF(ROW()=5,"Peak",IF(ROW()=6,"Deload","Accumulation")))</f>
        <v/>
      </c>
    </row>
    <row r="7">
      <c r="A7" t="inlineStr">
        <is>
          <t>Juin</t>
        </is>
      </c>
      <c r="C7">
        <f>IF(OR(ROW()=2,ROW()=3,ROW()=4),"Accumulation",IF(ROW()=5,"Peak",IF(ROW()=6,"Deload","Accumulation")))</f>
        <v/>
      </c>
    </row>
    <row r="8">
      <c r="A8" t="inlineStr">
        <is>
          <t>Juillet</t>
        </is>
      </c>
      <c r="C8">
        <f>IF(OR(ROW()=2,ROW()=3,ROW()=4),"Accumulation",IF(ROW()=5,"Peak",IF(ROW()=6,"Deload","Accumulation")))</f>
        <v/>
      </c>
    </row>
    <row r="9">
      <c r="A9" t="inlineStr">
        <is>
          <t>Août</t>
        </is>
      </c>
      <c r="C9">
        <f>IF(OR(ROW()=2,ROW()=3,ROW()=4),"Accumulation",IF(ROW()=5,"Peak",IF(ROW()=6,"Deload","Accumulation")))</f>
        <v/>
      </c>
    </row>
    <row r="10">
      <c r="A10" t="inlineStr">
        <is>
          <t>Septembre</t>
        </is>
      </c>
      <c r="C10">
        <f>IF(OR(ROW()=2,ROW()=3,ROW()=4),"Accumulation",IF(ROW()=5,"Peak",IF(ROW()=6,"Deload","Accumulation")))</f>
        <v/>
      </c>
    </row>
    <row r="11">
      <c r="A11" t="inlineStr">
        <is>
          <t>Octobre</t>
        </is>
      </c>
      <c r="C11">
        <f>IF(OR(ROW()=2,ROW()=3,ROW()=4),"Accumulation",IF(ROW()=5,"Peak",IF(ROW()=6,"Deload","Accumulation")))</f>
        <v/>
      </c>
    </row>
    <row r="12">
      <c r="A12" t="inlineStr">
        <is>
          <t>Novembre</t>
        </is>
      </c>
      <c r="C12">
        <f>IF(OR(ROW()=2,ROW()=3,ROW()=4),"Accumulation",IF(ROW()=5,"Peak",IF(ROW()=6,"Deload","Accumulation")))</f>
        <v/>
      </c>
    </row>
    <row r="13">
      <c r="A13" t="inlineStr">
        <is>
          <t>Décembre</t>
        </is>
      </c>
      <c r="C13">
        <f>IF(OR(ROW()=2,ROW()=3,ROW()=4),"Accumulation",IF(ROW()=5,"Peak",IF(ROW()=6,"Deload","Accumulation")))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Semaine</t>
        </is>
      </c>
      <c r="B1" t="inlineStr">
        <is>
          <t>Type</t>
        </is>
      </c>
      <c r="C1" t="inlineStr">
        <is>
          <t>Volume Cible</t>
        </is>
      </c>
      <c r="D1" t="inlineStr">
        <is>
          <t>Intensité Cible</t>
        </is>
      </c>
      <c r="E1" t="inlineStr">
        <is>
          <t>Skill Focus</t>
        </is>
      </c>
      <c r="F1" t="inlineStr">
        <is>
          <t>Force Focus</t>
        </is>
      </c>
      <c r="G1" t="inlineStr">
        <is>
          <t>Explosivité Focus</t>
        </is>
      </c>
    </row>
    <row r="2">
      <c r="A2" t="inlineStr">
        <is>
          <t>S1</t>
        </is>
      </c>
      <c r="B2" t="inlineStr">
        <is>
          <t>Accumulation</t>
        </is>
      </c>
      <c r="C2" t="inlineStr">
        <is>
          <t>High</t>
        </is>
      </c>
      <c r="D2" t="inlineStr">
        <is>
          <t>Low</t>
        </is>
      </c>
      <c r="E2" t="inlineStr">
        <is>
          <t>Base Skill</t>
        </is>
      </c>
      <c r="F2" t="inlineStr">
        <is>
          <t>Volume Force</t>
        </is>
      </c>
      <c r="G2" t="inlineStr">
        <is>
          <t>Low Plyo</t>
        </is>
      </c>
    </row>
    <row r="3">
      <c r="A3" t="inlineStr">
        <is>
          <t>S2</t>
        </is>
      </c>
      <c r="B3" t="inlineStr">
        <is>
          <t>Accumulation</t>
        </is>
      </c>
      <c r="C3" t="inlineStr">
        <is>
          <t>High</t>
        </is>
      </c>
      <c r="D3" t="inlineStr">
        <is>
          <t>Medium</t>
        </is>
      </c>
      <c r="E3" t="inlineStr">
        <is>
          <t>Skill+</t>
        </is>
      </c>
      <c r="F3" t="inlineStr">
        <is>
          <t>Force+</t>
        </is>
      </c>
      <c r="G3" t="inlineStr">
        <is>
          <t>Explosivité+</t>
        </is>
      </c>
    </row>
    <row r="4">
      <c r="A4" t="inlineStr">
        <is>
          <t>S3</t>
        </is>
      </c>
      <c r="B4" t="inlineStr">
        <is>
          <t>Intensification</t>
        </is>
      </c>
      <c r="C4" t="inlineStr">
        <is>
          <t>Medium</t>
        </is>
      </c>
      <c r="D4" t="inlineStr">
        <is>
          <t>High</t>
        </is>
      </c>
      <c r="E4" t="inlineStr">
        <is>
          <t>Skill avancé</t>
        </is>
      </c>
      <c r="F4" t="inlineStr">
        <is>
          <t>Heavy Strength</t>
        </is>
      </c>
      <c r="G4" t="inlineStr">
        <is>
          <t>Power</t>
        </is>
      </c>
    </row>
    <row r="5">
      <c r="A5" t="inlineStr">
        <is>
          <t>S4</t>
        </is>
      </c>
      <c r="B5" t="inlineStr">
        <is>
          <t>Deload</t>
        </is>
      </c>
      <c r="C5" t="inlineStr">
        <is>
          <t>Low</t>
        </is>
      </c>
      <c r="D5" t="inlineStr">
        <is>
          <t>Low</t>
        </is>
      </c>
      <c r="E5" t="inlineStr">
        <is>
          <t>Technique</t>
        </is>
      </c>
      <c r="F5" t="inlineStr">
        <is>
          <t>Léger</t>
        </is>
      </c>
      <c r="G5" t="inlineStr">
        <is>
          <t>Repos nerveux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S1 Type</t>
        </is>
      </c>
      <c r="C1" t="inlineStr">
        <is>
          <t>S2 Type</t>
        </is>
      </c>
      <c r="D1" t="inlineStr">
        <is>
          <t>S3 Type</t>
        </is>
      </c>
      <c r="E1" t="inlineStr">
        <is>
          <t>S4 Type</t>
        </is>
      </c>
      <c r="F1" t="inlineStr">
        <is>
          <t>Volume Moyen</t>
        </is>
      </c>
      <c r="G1" t="inlineStr">
        <is>
          <t>Intensité Moyenne</t>
        </is>
      </c>
    </row>
    <row r="2">
      <c r="A2" t="inlineStr">
        <is>
          <t>Janvier</t>
        </is>
      </c>
      <c r="B2">
        <f>'Mésocycle-Type'!B2</f>
        <v/>
      </c>
      <c r="C2">
        <f>'Mésocycle-Type'!B3</f>
        <v/>
      </c>
      <c r="D2">
        <f>'Mésocycle-Type'!B4</f>
        <v/>
      </c>
      <c r="E2">
        <f>'Mésocycle-Type'!B5</f>
        <v/>
      </c>
      <c r="F2">
        <f>AVERAGE('Mésocycle-Type'!C2:C5)</f>
        <v/>
      </c>
      <c r="G2">
        <f>AVERAGE('Mésocycle-Type'!D2:D5)</f>
        <v/>
      </c>
    </row>
    <row r="3">
      <c r="A3" t="inlineStr">
        <is>
          <t>Février</t>
        </is>
      </c>
      <c r="B3">
        <f>'Mésocycle-Type'!B2</f>
        <v/>
      </c>
      <c r="C3">
        <f>'Mésocycle-Type'!B3</f>
        <v/>
      </c>
      <c r="D3">
        <f>'Mésocycle-Type'!B4</f>
        <v/>
      </c>
      <c r="E3">
        <f>'Mésocycle-Type'!B5</f>
        <v/>
      </c>
      <c r="F3">
        <f>AVERAGE('Mésocycle-Type'!C2:C5)</f>
        <v/>
      </c>
      <c r="G3">
        <f>AVERAGE('Mésocycle-Type'!D2:D5)</f>
        <v/>
      </c>
    </row>
    <row r="4">
      <c r="A4" t="inlineStr">
        <is>
          <t>Mars</t>
        </is>
      </c>
      <c r="B4">
        <f>'Mésocycle-Type'!B2</f>
        <v/>
      </c>
      <c r="C4">
        <f>'Mésocycle-Type'!B3</f>
        <v/>
      </c>
      <c r="D4">
        <f>'Mésocycle-Type'!B4</f>
        <v/>
      </c>
      <c r="E4">
        <f>'Mésocycle-Type'!B5</f>
        <v/>
      </c>
      <c r="F4">
        <f>AVERAGE('Mésocycle-Type'!C2:C5)</f>
        <v/>
      </c>
      <c r="G4">
        <f>AVERAGE('Mésocycle-Type'!D2:D5)</f>
        <v/>
      </c>
    </row>
    <row r="5">
      <c r="A5" t="inlineStr">
        <is>
          <t>Avril</t>
        </is>
      </c>
      <c r="B5">
        <f>'Mésocycle-Type'!B2</f>
        <v/>
      </c>
      <c r="C5">
        <f>'Mésocycle-Type'!B3</f>
        <v/>
      </c>
      <c r="D5">
        <f>'Mésocycle-Type'!B4</f>
        <v/>
      </c>
      <c r="E5">
        <f>'Mésocycle-Type'!B5</f>
        <v/>
      </c>
      <c r="F5">
        <f>AVERAGE('Mésocycle-Type'!C2:C5)</f>
        <v/>
      </c>
      <c r="G5">
        <f>AVERAGE('Mésocycle-Type'!D2:D5)</f>
        <v/>
      </c>
    </row>
    <row r="6">
      <c r="A6" t="inlineStr">
        <is>
          <t>Mai</t>
        </is>
      </c>
      <c r="B6">
        <f>'Mésocycle-Type'!B2</f>
        <v/>
      </c>
      <c r="C6">
        <f>'Mésocycle-Type'!B3</f>
        <v/>
      </c>
      <c r="D6">
        <f>'Mésocycle-Type'!B4</f>
        <v/>
      </c>
      <c r="E6">
        <f>'Mésocycle-Type'!B5</f>
        <v/>
      </c>
      <c r="F6">
        <f>AVERAGE('Mésocycle-Type'!C2:C5)</f>
        <v/>
      </c>
      <c r="G6">
        <f>AVERAGE('Mésocycle-Type'!D2:D5)</f>
        <v/>
      </c>
    </row>
    <row r="7">
      <c r="A7" t="inlineStr">
        <is>
          <t>Juin</t>
        </is>
      </c>
      <c r="B7">
        <f>'Mésocycle-Type'!B2</f>
        <v/>
      </c>
      <c r="C7">
        <f>'Mésocycle-Type'!B3</f>
        <v/>
      </c>
      <c r="D7">
        <f>'Mésocycle-Type'!B4</f>
        <v/>
      </c>
      <c r="E7">
        <f>'Mésocycle-Type'!B5</f>
        <v/>
      </c>
      <c r="F7">
        <f>AVERAGE('Mésocycle-Type'!C2:C5)</f>
        <v/>
      </c>
      <c r="G7">
        <f>AVERAGE('Mésocycle-Type'!D2:D5)</f>
        <v/>
      </c>
    </row>
    <row r="8">
      <c r="A8" t="inlineStr">
        <is>
          <t>Juillet</t>
        </is>
      </c>
      <c r="B8">
        <f>'Mésocycle-Type'!B2</f>
        <v/>
      </c>
      <c r="C8">
        <f>'Mésocycle-Type'!B3</f>
        <v/>
      </c>
      <c r="D8">
        <f>'Mésocycle-Type'!B4</f>
        <v/>
      </c>
      <c r="E8">
        <f>'Mésocycle-Type'!B5</f>
        <v/>
      </c>
      <c r="F8">
        <f>AVERAGE('Mésocycle-Type'!C2:C5)</f>
        <v/>
      </c>
      <c r="G8">
        <f>AVERAGE('Mésocycle-Type'!D2:D5)</f>
        <v/>
      </c>
    </row>
    <row r="9">
      <c r="A9" t="inlineStr">
        <is>
          <t>Août</t>
        </is>
      </c>
      <c r="B9">
        <f>'Mésocycle-Type'!B2</f>
        <v/>
      </c>
      <c r="C9">
        <f>'Mésocycle-Type'!B3</f>
        <v/>
      </c>
      <c r="D9">
        <f>'Mésocycle-Type'!B4</f>
        <v/>
      </c>
      <c r="E9">
        <f>'Mésocycle-Type'!B5</f>
        <v/>
      </c>
      <c r="F9">
        <f>AVERAGE('Mésocycle-Type'!C2:C5)</f>
        <v/>
      </c>
      <c r="G9">
        <f>AVERAGE('Mésocycle-Type'!D2:D5)</f>
        <v/>
      </c>
    </row>
    <row r="10">
      <c r="A10" t="inlineStr">
        <is>
          <t>Septembre</t>
        </is>
      </c>
      <c r="B10">
        <f>'Mésocycle-Type'!B2</f>
        <v/>
      </c>
      <c r="C10">
        <f>'Mésocycle-Type'!B3</f>
        <v/>
      </c>
      <c r="D10">
        <f>'Mésocycle-Type'!B4</f>
        <v/>
      </c>
      <c r="E10">
        <f>'Mésocycle-Type'!B5</f>
        <v/>
      </c>
      <c r="F10">
        <f>AVERAGE('Mésocycle-Type'!C2:C5)</f>
        <v/>
      </c>
      <c r="G10">
        <f>AVERAGE('Mésocycle-Type'!D2:D5)</f>
        <v/>
      </c>
    </row>
    <row r="11">
      <c r="A11" t="inlineStr">
        <is>
          <t>Octobre</t>
        </is>
      </c>
      <c r="B11">
        <f>'Mésocycle-Type'!B2</f>
        <v/>
      </c>
      <c r="C11">
        <f>'Mésocycle-Type'!B3</f>
        <v/>
      </c>
      <c r="D11">
        <f>'Mésocycle-Type'!B4</f>
        <v/>
      </c>
      <c r="E11">
        <f>'Mésocycle-Type'!B5</f>
        <v/>
      </c>
      <c r="F11">
        <f>AVERAGE('Mésocycle-Type'!C2:C5)</f>
        <v/>
      </c>
      <c r="G11">
        <f>AVERAGE('Mésocycle-Type'!D2:D5)</f>
        <v/>
      </c>
    </row>
    <row r="12">
      <c r="A12" t="inlineStr">
        <is>
          <t>Novembre</t>
        </is>
      </c>
      <c r="B12">
        <f>'Mésocycle-Type'!B2</f>
        <v/>
      </c>
      <c r="C12">
        <f>'Mésocycle-Type'!B3</f>
        <v/>
      </c>
      <c r="D12">
        <f>'Mésocycle-Type'!B4</f>
        <v/>
      </c>
      <c r="E12">
        <f>'Mésocycle-Type'!B5</f>
        <v/>
      </c>
      <c r="F12">
        <f>AVERAGE('Mésocycle-Type'!C2:C5)</f>
        <v/>
      </c>
      <c r="G12">
        <f>AVERAGE('Mésocycle-Type'!D2:D5)</f>
        <v/>
      </c>
    </row>
    <row r="13">
      <c r="A13" t="inlineStr">
        <is>
          <t>Décembre</t>
        </is>
      </c>
      <c r="B13">
        <f>'Mésocycle-Type'!B2</f>
        <v/>
      </c>
      <c r="C13">
        <f>'Mésocycle-Type'!B3</f>
        <v/>
      </c>
      <c r="D13">
        <f>'Mésocycle-Type'!B4</f>
        <v/>
      </c>
      <c r="E13">
        <f>'Mésocycle-Type'!B5</f>
        <v/>
      </c>
      <c r="F13">
        <f>AVERAGE('Mésocycle-Type'!C2:C5)</f>
        <v/>
      </c>
      <c r="G13">
        <f>AVERAGE('Mésocycle-Type'!D2:D5)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Semaine</t>
        </is>
      </c>
      <c r="B1" t="inlineStr">
        <is>
          <t>Focus</t>
        </is>
      </c>
      <c r="C1" t="inlineStr">
        <is>
          <t>Charge Cible (%1RM)</t>
        </is>
      </c>
      <c r="D1" t="inlineStr">
        <is>
          <t>Volume</t>
        </is>
      </c>
      <c r="E1" t="inlineStr">
        <is>
          <t>Objectif</t>
        </is>
      </c>
    </row>
    <row r="2">
      <c r="A2" t="inlineStr">
        <is>
          <t>S-4</t>
        </is>
      </c>
      <c r="B2" t="inlineStr">
        <is>
          <t>Base Strength</t>
        </is>
      </c>
      <c r="C2" t="n">
        <v>0.75</v>
      </c>
      <c r="D2" t="inlineStr">
        <is>
          <t>High</t>
        </is>
      </c>
      <c r="E2" t="inlineStr">
        <is>
          <t>Accumulation</t>
        </is>
      </c>
    </row>
    <row r="3">
      <c r="A3" t="inlineStr">
        <is>
          <t>S-3</t>
        </is>
      </c>
      <c r="B3" t="inlineStr">
        <is>
          <t>Strength+</t>
        </is>
      </c>
      <c r="C3" t="n">
        <v>0.8</v>
      </c>
      <c r="D3" t="inlineStr">
        <is>
          <t>Medium</t>
        </is>
      </c>
      <c r="E3" t="inlineStr">
        <is>
          <t>Intensification 1</t>
        </is>
      </c>
    </row>
    <row r="4">
      <c r="A4" t="inlineStr">
        <is>
          <t>S-2</t>
        </is>
      </c>
      <c r="B4" t="inlineStr">
        <is>
          <t>Power</t>
        </is>
      </c>
      <c r="C4" t="n">
        <v>0.85</v>
      </c>
      <c r="D4" t="inlineStr">
        <is>
          <t>Low-Medium</t>
        </is>
      </c>
      <c r="E4" t="inlineStr">
        <is>
          <t>Intensification 2</t>
        </is>
      </c>
    </row>
    <row r="5">
      <c r="A5" t="inlineStr">
        <is>
          <t>S-1</t>
        </is>
      </c>
      <c r="B5" t="inlineStr">
        <is>
          <t>Peak Test</t>
        </is>
      </c>
      <c r="C5" t="n">
        <v>0.9</v>
      </c>
      <c r="D5" t="inlineStr">
        <is>
          <t>Low</t>
        </is>
      </c>
      <c r="E5" t="inlineStr">
        <is>
          <t>Test Maximal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Readiness</t>
        </is>
      </c>
      <c r="B1" t="inlineStr">
        <is>
          <t>Fatigue</t>
        </is>
      </c>
      <c r="C1" t="inlineStr">
        <is>
          <t>Objectif Mésocycle</t>
        </is>
      </c>
      <c r="D1" t="inlineStr">
        <is>
          <t>Séance Recommandée</t>
        </is>
      </c>
    </row>
    <row r="2">
      <c r="A2">
        <f>AVERAGE('Lifestyle'!I2:I31)</f>
        <v/>
      </c>
      <c r="B2">
        <f>AVERAGE('Fatigue &amp; Readiness'!F2:F31)</f>
        <v/>
      </c>
      <c r="C2">
        <f>'Plan Annuel'!C2</f>
        <v/>
      </c>
      <c r="D2">
        <f>IF(A2&gt;80,IF(C2="Peak","Heavy Strength","High Skill"),IF(A2&gt;60,IF(C2="Accumulation","Medium Volume","Speed Technique"),IF(A2&gt;40,"Hypertrophy / Skill","Recovery / Mobility")))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Dernier 1RM Est</t>
        </is>
      </c>
      <c r="C1" t="inlineStr">
        <is>
          <t>Trend (SLOPE)</t>
        </is>
      </c>
      <c r="D1" t="inlineStr">
        <is>
          <t>Prévision 4 semaines</t>
        </is>
      </c>
      <c r="E1" t="inlineStr">
        <is>
          <t>Commentaire</t>
        </is>
      </c>
    </row>
    <row r="2">
      <c r="A2" t="inlineStr">
        <is>
          <t>Squat</t>
        </is>
      </c>
      <c r="B2">
        <f>LOOKUP(10^10,'Données Force'!E2:E31)</f>
        <v/>
      </c>
      <c r="C2">
        <f>SLOPE('Données Force'!E2:E31,'Données Force'!A2:A31)</f>
        <v/>
      </c>
      <c r="D2">
        <f>FORECAST.LINEAR(35,'Données Force'!E2:E31,'Données Force'!A2:A31)</f>
        <v/>
      </c>
      <c r="E2" t="inlineStr">
        <is>
          <t>Évolution Squat 1RM</t>
        </is>
      </c>
    </row>
    <row r="3">
      <c r="A3" t="inlineStr">
        <is>
          <t>Bench</t>
        </is>
      </c>
      <c r="B3">
        <f>LOOKUP(10^10,'Données Force'!J2:J31)</f>
        <v/>
      </c>
      <c r="C3">
        <f>SLOPE('Données Force'!J2:J31,'Données Force'!A2:A31)</f>
        <v/>
      </c>
      <c r="D3">
        <f>FORECAST.LINEAR(35,'Données Force'!J2:J31,'Données Force'!A2:A31)</f>
        <v/>
      </c>
      <c r="E3" t="inlineStr">
        <is>
          <t>Évolution Bench 1RM</t>
        </is>
      </c>
    </row>
    <row r="4">
      <c r="A4" t="inlineStr">
        <is>
          <t>Deadlift</t>
        </is>
      </c>
      <c r="B4">
        <f>LOOKUP(10^10,'Données Force'!M2:M31)</f>
        <v/>
      </c>
      <c r="C4">
        <f>SLOPE('Données Force'!M2:M31,'Données Force'!A2:A31)</f>
        <v/>
      </c>
      <c r="D4">
        <f>FORECAST.LINEAR(35,'Données Force'!M2:M31,'Données Force'!A2:A31)</f>
        <v/>
      </c>
      <c r="E4" t="inlineStr">
        <is>
          <t>Évolution Deadlift 1RM</t>
        </is>
      </c>
    </row>
    <row r="5">
      <c r="A5" t="inlineStr">
        <is>
          <t>Traction Lestée</t>
        </is>
      </c>
      <c r="B5">
        <f>LOOKUP(10^10,'Données Force'!R2:R31)</f>
        <v/>
      </c>
      <c r="C5">
        <f>SLOPE('Données Force'!R2:R31,'Données Force'!A2:A31)</f>
        <v/>
      </c>
      <c r="D5">
        <f>FORECAST.LINEAR(35,'Données Force'!R2:R31,'Données Force'!A2:A31)</f>
        <v/>
      </c>
      <c r="E5" t="inlineStr">
        <is>
          <t>Évolution traction lestée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Synthèse Performance + Lifestyle</t>
        </is>
      </c>
    </row>
    <row r="3">
      <c r="A3" t="inlineStr">
        <is>
          <t>Score SAH</t>
        </is>
      </c>
      <c r="B3">
        <f>'Score Athlète Hybride'!F2</f>
        <v/>
      </c>
    </row>
    <row r="5">
      <c r="A5" t="inlineStr">
        <is>
          <t>Readiness Moyen</t>
        </is>
      </c>
      <c r="B5">
        <f>AVERAGE('Lifestyle'!I2:I31)</f>
        <v/>
      </c>
    </row>
    <row r="7">
      <c r="A7" t="inlineStr">
        <is>
          <t>Fatigue Moyenne</t>
        </is>
      </c>
      <c r="B7">
        <f>AVERAGE('Fatigue &amp; Readiness'!F2:F31)</f>
        <v/>
      </c>
    </row>
    <row r="9">
      <c r="A9" t="inlineStr">
        <is>
          <t>Séance Recommandée</t>
        </is>
      </c>
      <c r="B9">
        <f>'Auto-Séance'!C2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Category</t>
        </is>
      </c>
      <c r="C1" t="inlineStr">
        <is>
          <t>Max_kg</t>
        </is>
      </c>
      <c r="D1" t="inlineStr">
        <is>
          <t>Max_reps</t>
        </is>
      </c>
      <c r="E1" t="inlineStr">
        <is>
          <t>Max_sec</t>
        </is>
      </c>
      <c r="F1" t="inlineStr">
        <is>
          <t>Unit</t>
        </is>
      </c>
    </row>
    <row r="2">
      <c r="A2" t="inlineStr">
        <is>
          <t>Front Squat (wedge)</t>
        </is>
      </c>
      <c r="B2" t="inlineStr">
        <is>
          <t>LEGS</t>
        </is>
      </c>
      <c r="F2" t="inlineStr">
        <is>
          <t>kg</t>
        </is>
      </c>
    </row>
    <row r="3">
      <c r="A3" t="inlineStr">
        <is>
          <t>Back Squat</t>
        </is>
      </c>
      <c r="B3" t="inlineStr">
        <is>
          <t>LEGS</t>
        </is>
      </c>
      <c r="F3" t="inlineStr">
        <is>
          <t>kg</t>
        </is>
      </c>
    </row>
    <row r="4">
      <c r="A4" t="inlineStr">
        <is>
          <t>Snatch Grip Deadlift (position haute)</t>
        </is>
      </c>
      <c r="B4" t="inlineStr">
        <is>
          <t>LEGS</t>
        </is>
      </c>
      <c r="F4" t="inlineStr">
        <is>
          <t>kg</t>
        </is>
      </c>
    </row>
    <row r="5">
      <c r="A5" t="inlineStr">
        <is>
          <t>Bulgarian Split Squat haltères</t>
        </is>
      </c>
      <c r="B5" t="inlineStr">
        <is>
          <t>LEGS</t>
        </is>
      </c>
      <c r="F5" t="inlineStr">
        <is>
          <t>kg</t>
        </is>
      </c>
    </row>
    <row r="6">
      <c r="A6" t="inlineStr">
        <is>
          <t>Hack Squat</t>
        </is>
      </c>
      <c r="B6" t="inlineStr">
        <is>
          <t>LEGS</t>
        </is>
      </c>
      <c r="F6" t="inlineStr">
        <is>
          <t>kg</t>
        </is>
      </c>
    </row>
    <row r="7">
      <c r="A7" t="inlineStr">
        <is>
          <t>Leg Press</t>
        </is>
      </c>
      <c r="B7" t="inlineStr">
        <is>
          <t>LEGS</t>
        </is>
      </c>
      <c r="F7" t="inlineStr">
        <is>
          <t>kg</t>
        </is>
      </c>
    </row>
    <row r="8">
      <c r="A8" t="inlineStr">
        <is>
          <t>Leg Extension (full stretch)</t>
        </is>
      </c>
      <c r="B8" t="inlineStr">
        <is>
          <t>LEGS</t>
        </is>
      </c>
      <c r="F8" t="inlineStr">
        <is>
          <t>kg</t>
        </is>
      </c>
    </row>
    <row r="9">
      <c r="A9" t="inlineStr">
        <is>
          <t>Leg Curl allongé</t>
        </is>
      </c>
      <c r="B9" t="inlineStr">
        <is>
          <t>LEGS</t>
        </is>
      </c>
      <c r="F9" t="inlineStr">
        <is>
          <t>kg</t>
        </is>
      </c>
    </row>
    <row r="10">
      <c r="A10" t="inlineStr">
        <is>
          <t>Leg Curl assis</t>
        </is>
      </c>
      <c r="B10" t="inlineStr">
        <is>
          <t>LEGS</t>
        </is>
      </c>
      <c r="F10" t="inlineStr">
        <is>
          <t>kg</t>
        </is>
      </c>
    </row>
    <row r="11">
      <c r="A11" t="inlineStr">
        <is>
          <t>Mollets debout</t>
        </is>
      </c>
      <c r="B11" t="inlineStr">
        <is>
          <t>LEGS</t>
        </is>
      </c>
      <c r="F11" t="inlineStr">
        <is>
          <t>kg</t>
        </is>
      </c>
    </row>
    <row r="12">
      <c r="A12" t="inlineStr">
        <is>
          <t>Mollets assis</t>
        </is>
      </c>
      <c r="B12" t="inlineStr">
        <is>
          <t>LEGS</t>
        </is>
      </c>
      <c r="F12" t="inlineStr">
        <is>
          <t>kg</t>
        </is>
      </c>
    </row>
    <row r="13">
      <c r="A13" t="inlineStr">
        <is>
          <t>Belt Squat</t>
        </is>
      </c>
      <c r="B13" t="inlineStr">
        <is>
          <t>LEGS</t>
        </is>
      </c>
      <c r="F13" t="inlineStr">
        <is>
          <t>kg</t>
        </is>
      </c>
    </row>
    <row r="14">
      <c r="A14" t="inlineStr">
        <is>
          <t>Romanian Deadlift (barre)</t>
        </is>
      </c>
      <c r="B14" t="inlineStr">
        <is>
          <t>LEGS</t>
        </is>
      </c>
      <c r="F14" t="inlineStr">
        <is>
          <t>kg</t>
        </is>
      </c>
    </row>
    <row r="15">
      <c r="A15" t="inlineStr">
        <is>
          <t>Hip Thrust barre</t>
        </is>
      </c>
      <c r="B15" t="inlineStr">
        <is>
          <t>LEGS</t>
        </is>
      </c>
      <c r="F15" t="inlineStr">
        <is>
          <t>kg</t>
        </is>
      </c>
    </row>
    <row r="16">
      <c r="A16" t="inlineStr">
        <is>
          <t>Cable Kickback</t>
        </is>
      </c>
      <c r="B16" t="inlineStr">
        <is>
          <t>LEGS</t>
        </is>
      </c>
      <c r="F16" t="inlineStr">
        <is>
          <t>kg</t>
        </is>
      </c>
    </row>
    <row r="17">
      <c r="A17" t="inlineStr">
        <is>
          <t>Abduction machine</t>
        </is>
      </c>
      <c r="B17" t="inlineStr">
        <is>
          <t>LEGS</t>
        </is>
      </c>
      <c r="F17" t="inlineStr">
        <is>
          <t>kg</t>
        </is>
      </c>
    </row>
    <row r="18">
      <c r="A18" t="inlineStr">
        <is>
          <t>Standing Hip Abduction</t>
        </is>
      </c>
      <c r="B18" t="inlineStr">
        <is>
          <t>LEGS</t>
        </is>
      </c>
      <c r="F18" t="inlineStr">
        <is>
          <t>kg</t>
        </is>
      </c>
    </row>
    <row r="19">
      <c r="A19" t="inlineStr">
        <is>
          <t>Développé couché barre / haltères</t>
        </is>
      </c>
      <c r="B19" t="inlineStr">
        <is>
          <t>PUSH</t>
        </is>
      </c>
      <c r="F19" t="inlineStr">
        <is>
          <t>kg</t>
        </is>
      </c>
    </row>
    <row r="20">
      <c r="A20" t="inlineStr">
        <is>
          <t>Développé militaire barre / haltères</t>
        </is>
      </c>
      <c r="B20" t="inlineStr">
        <is>
          <t>PUSH</t>
        </is>
      </c>
      <c r="F20" t="inlineStr">
        <is>
          <t>kg</t>
        </is>
      </c>
    </row>
    <row r="21">
      <c r="A21" t="inlineStr">
        <is>
          <t>Développé incliné batte / haltères</t>
        </is>
      </c>
      <c r="B21" t="inlineStr">
        <is>
          <t>PUSH</t>
        </is>
      </c>
      <c r="F21" t="inlineStr">
        <is>
          <t>kg</t>
        </is>
      </c>
    </row>
    <row r="22">
      <c r="A22" t="inlineStr">
        <is>
          <t>Développé Arnold</t>
        </is>
      </c>
      <c r="B22" t="inlineStr">
        <is>
          <t>PUSH</t>
        </is>
      </c>
      <c r="F22" t="inlineStr">
        <is>
          <t>kg</t>
        </is>
      </c>
    </row>
    <row r="23">
      <c r="A23" t="inlineStr">
        <is>
          <t>Kickbacks triceps</t>
        </is>
      </c>
      <c r="B23" t="inlineStr">
        <is>
          <t>PUSH</t>
        </is>
      </c>
      <c r="F23" t="inlineStr">
        <is>
          <t>kg</t>
        </is>
      </c>
    </row>
    <row r="24">
      <c r="A24" t="inlineStr">
        <is>
          <t>Pompes</t>
        </is>
      </c>
      <c r="B24" t="inlineStr">
        <is>
          <t>PUSH</t>
        </is>
      </c>
      <c r="F24" t="inlineStr">
        <is>
          <t>reps</t>
        </is>
      </c>
    </row>
    <row r="25">
      <c r="A25" t="inlineStr">
        <is>
          <t>Pompes lestées</t>
        </is>
      </c>
      <c r="B25" t="inlineStr">
        <is>
          <t>PUSH</t>
        </is>
      </c>
      <c r="F25" t="inlineStr">
        <is>
          <t>kg</t>
        </is>
      </c>
    </row>
    <row r="26">
      <c r="A26" t="inlineStr">
        <is>
          <t>Pompes diamants</t>
        </is>
      </c>
      <c r="B26" t="inlineStr">
        <is>
          <t>PUSH</t>
        </is>
      </c>
      <c r="F26" t="inlineStr">
        <is>
          <t>reps</t>
        </is>
      </c>
    </row>
    <row r="27">
      <c r="A27" t="inlineStr">
        <is>
          <t>Dips</t>
        </is>
      </c>
      <c r="B27" t="inlineStr">
        <is>
          <t>PUSH</t>
        </is>
      </c>
      <c r="F27" t="inlineStr">
        <is>
          <t>reps</t>
        </is>
      </c>
    </row>
    <row r="28">
      <c r="A28" t="inlineStr">
        <is>
          <t>Dips lestées</t>
        </is>
      </c>
      <c r="B28" t="inlineStr">
        <is>
          <t>PUSH</t>
        </is>
      </c>
      <c r="F28" t="inlineStr">
        <is>
          <t>kg</t>
        </is>
      </c>
    </row>
    <row r="29">
      <c r="A29" t="inlineStr">
        <is>
          <t>Chest-to-wall Hold</t>
        </is>
      </c>
      <c r="B29" t="inlineStr">
        <is>
          <t>PUSH</t>
        </is>
      </c>
      <c r="F29" t="inlineStr">
        <is>
          <t>sec</t>
        </is>
      </c>
    </row>
    <row r="30">
      <c r="A30" t="inlineStr">
        <is>
          <t>Handstand Hold</t>
        </is>
      </c>
      <c r="B30" t="inlineStr">
        <is>
          <t>PUSH</t>
        </is>
      </c>
      <c r="F30" t="inlineStr">
        <is>
          <t>sec</t>
        </is>
      </c>
    </row>
    <row r="31">
      <c r="A31" t="inlineStr">
        <is>
          <t>Pike push-up</t>
        </is>
      </c>
      <c r="B31" t="inlineStr">
        <is>
          <t>PUSH</t>
        </is>
      </c>
      <c r="F31" t="inlineStr">
        <is>
          <t>reps</t>
        </is>
      </c>
    </row>
    <row r="32">
      <c r="A32" t="inlineStr">
        <is>
          <t>HSPU Négative</t>
        </is>
      </c>
      <c r="B32" t="inlineStr">
        <is>
          <t>PUSH</t>
        </is>
      </c>
      <c r="F32" t="inlineStr">
        <is>
          <t>reps</t>
        </is>
      </c>
    </row>
    <row r="33">
      <c r="A33" t="inlineStr">
        <is>
          <t>HSPU partiels (mur)</t>
        </is>
      </c>
      <c r="B33" t="inlineStr">
        <is>
          <t>PUSH</t>
        </is>
      </c>
      <c r="F33" t="inlineStr">
        <is>
          <t>reps</t>
        </is>
      </c>
    </row>
    <row r="34">
      <c r="A34" t="inlineStr">
        <is>
          <t>HSPU</t>
        </is>
      </c>
      <c r="B34" t="inlineStr">
        <is>
          <t>PUSH</t>
        </is>
      </c>
      <c r="F34" t="inlineStr">
        <is>
          <t>reps</t>
        </is>
      </c>
    </row>
    <row r="35">
      <c r="A35" t="inlineStr">
        <is>
          <t>HSPU lestés</t>
        </is>
      </c>
      <c r="B35" t="inlineStr">
        <is>
          <t>PUSH</t>
        </is>
      </c>
      <c r="F35" t="inlineStr">
        <is>
          <t>kg</t>
        </is>
      </c>
    </row>
    <row r="36">
      <c r="A36" t="inlineStr">
        <is>
          <t>Écarté incliné à la poulie</t>
        </is>
      </c>
      <c r="B36" t="inlineStr">
        <is>
          <t>PUSH</t>
        </is>
      </c>
      <c r="F36" t="inlineStr">
        <is>
          <t>kg</t>
        </is>
      </c>
    </row>
    <row r="37">
      <c r="A37" t="inlineStr">
        <is>
          <t>Élévations latérales</t>
        </is>
      </c>
      <c r="B37" t="inlineStr">
        <is>
          <t>PUSH</t>
        </is>
      </c>
      <c r="F37" t="inlineStr">
        <is>
          <t>kg</t>
        </is>
      </c>
    </row>
    <row r="38">
      <c r="A38" t="inlineStr">
        <is>
          <t>Extension triceps poulie</t>
        </is>
      </c>
      <c r="B38" t="inlineStr">
        <is>
          <t>PUSH</t>
        </is>
      </c>
      <c r="F38" t="inlineStr">
        <is>
          <t>kg</t>
        </is>
      </c>
    </row>
    <row r="39">
      <c r="A39" t="inlineStr">
        <is>
          <t>Tractions</t>
        </is>
      </c>
      <c r="B39" t="inlineStr">
        <is>
          <t>PULL</t>
        </is>
      </c>
      <c r="F39" t="inlineStr">
        <is>
          <t>reps</t>
        </is>
      </c>
    </row>
    <row r="40">
      <c r="A40" t="inlineStr">
        <is>
          <t>Tractions lestées</t>
        </is>
      </c>
      <c r="B40" t="inlineStr">
        <is>
          <t>PULL</t>
        </is>
      </c>
      <c r="F40" t="inlineStr">
        <is>
          <t>kg</t>
        </is>
      </c>
    </row>
    <row r="41">
      <c r="A41" t="inlineStr">
        <is>
          <t>Muscle-up</t>
        </is>
      </c>
      <c r="B41" t="inlineStr">
        <is>
          <t>PULL</t>
        </is>
      </c>
      <c r="F41" t="inlineStr">
        <is>
          <t>reps</t>
        </is>
      </c>
    </row>
    <row r="42">
      <c r="A42" t="inlineStr">
        <is>
          <t>Muscles-up lestées</t>
        </is>
      </c>
      <c r="B42" t="inlineStr">
        <is>
          <t>PULL</t>
        </is>
      </c>
      <c r="F42" t="inlineStr">
        <is>
          <t>kg</t>
        </is>
      </c>
    </row>
    <row r="43">
      <c r="A43" t="inlineStr">
        <is>
          <t>Rowing barre pronation</t>
        </is>
      </c>
      <c r="B43" t="inlineStr">
        <is>
          <t>PULL</t>
        </is>
      </c>
      <c r="F43" t="inlineStr">
        <is>
          <t>kg</t>
        </is>
      </c>
    </row>
    <row r="44">
      <c r="A44" t="inlineStr">
        <is>
          <t>Rowing machine unilatérale</t>
        </is>
      </c>
      <c r="B44" t="inlineStr">
        <is>
          <t>PULL</t>
        </is>
      </c>
      <c r="F44" t="inlineStr">
        <is>
          <t>kg</t>
        </is>
      </c>
    </row>
    <row r="45">
      <c r="A45" t="inlineStr">
        <is>
          <t>Good Morning barre basse</t>
        </is>
      </c>
      <c r="B45" t="inlineStr">
        <is>
          <t>PULL</t>
        </is>
      </c>
      <c r="F45" t="inlineStr">
        <is>
          <t>kg</t>
        </is>
      </c>
    </row>
    <row r="46">
      <c r="A46" t="inlineStr">
        <is>
          <t>Tirage vertical poulie inversée</t>
        </is>
      </c>
      <c r="B46" t="inlineStr">
        <is>
          <t>PULL</t>
        </is>
      </c>
      <c r="F46" t="inlineStr">
        <is>
          <t>kg</t>
        </is>
      </c>
    </row>
    <row r="47">
      <c r="A47" t="inlineStr">
        <is>
          <t>Curl biceps haltères</t>
        </is>
      </c>
      <c r="B47" t="inlineStr">
        <is>
          <t>PULL</t>
        </is>
      </c>
      <c r="F47" t="inlineStr">
        <is>
          <t>kg</t>
        </is>
      </c>
    </row>
    <row r="48">
      <c r="A48" t="inlineStr">
        <is>
          <t>Curl marteau haltères</t>
        </is>
      </c>
      <c r="B48" t="inlineStr">
        <is>
          <t>PULL</t>
        </is>
      </c>
      <c r="F48" t="inlineStr">
        <is>
          <t>kg</t>
        </is>
      </c>
    </row>
    <row r="49">
      <c r="A49" t="inlineStr">
        <is>
          <t>Face Pulls</t>
        </is>
      </c>
      <c r="B49" t="inlineStr">
        <is>
          <t>PULL</t>
        </is>
      </c>
      <c r="F49" t="inlineStr">
        <is>
          <t>kg</t>
        </is>
      </c>
    </row>
    <row r="50">
      <c r="A50" t="inlineStr">
        <is>
          <t>Shrugs lourds</t>
        </is>
      </c>
      <c r="B50" t="inlineStr">
        <is>
          <t>PULL</t>
        </is>
      </c>
      <c r="F50" t="inlineStr">
        <is>
          <t>kg</t>
        </is>
      </c>
    </row>
    <row r="51">
      <c r="A51" t="inlineStr">
        <is>
          <t>OMAD</t>
        </is>
      </c>
      <c r="B51" t="inlineStr">
        <is>
          <t>PULL</t>
        </is>
      </c>
      <c r="F51" t="inlineStr">
        <is>
          <t>kg</t>
        </is>
      </c>
    </row>
    <row r="52">
      <c r="A52" t="inlineStr">
        <is>
          <t>Box Jump</t>
        </is>
      </c>
      <c r="B52" t="inlineStr">
        <is>
          <t>FULL</t>
        </is>
      </c>
      <c r="F52" t="inlineStr">
        <is>
          <t>kg</t>
        </is>
      </c>
    </row>
    <row r="53">
      <c r="A53" t="inlineStr">
        <is>
          <t>Tuck Jumps</t>
        </is>
      </c>
      <c r="B53" t="inlineStr">
        <is>
          <t>FULL</t>
        </is>
      </c>
      <c r="F53" t="inlineStr">
        <is>
          <t>kg</t>
        </is>
      </c>
    </row>
    <row r="54">
      <c r="A54" t="inlineStr">
        <is>
          <t>Pistol Squat D</t>
        </is>
      </c>
      <c r="B54" t="inlineStr">
        <is>
          <t>FULL</t>
        </is>
      </c>
      <c r="F54" t="inlineStr">
        <is>
          <t>kg</t>
        </is>
      </c>
    </row>
    <row r="55">
      <c r="A55" t="inlineStr">
        <is>
          <t>Pistol Squat G</t>
        </is>
      </c>
      <c r="B55" t="inlineStr">
        <is>
          <t>FULL</t>
        </is>
      </c>
      <c r="F55" t="inlineStr">
        <is>
          <t>kg</t>
        </is>
      </c>
    </row>
    <row r="56">
      <c r="A56" t="inlineStr">
        <is>
          <t>Step-up genou haut D</t>
        </is>
      </c>
      <c r="B56" t="inlineStr">
        <is>
          <t>FULL</t>
        </is>
      </c>
      <c r="F56" t="inlineStr">
        <is>
          <t>kg</t>
        </is>
      </c>
    </row>
    <row r="57">
      <c r="A57" t="inlineStr">
        <is>
          <t>Step-up genou haut G</t>
        </is>
      </c>
      <c r="B57" t="inlineStr">
        <is>
          <t>FULL</t>
        </is>
      </c>
      <c r="F57" t="inlineStr">
        <is>
          <t>kg</t>
        </is>
      </c>
    </row>
    <row r="58">
      <c r="A58" t="inlineStr">
        <is>
          <t>High knees explosifs D</t>
        </is>
      </c>
      <c r="B58" t="inlineStr">
        <is>
          <t>FULL</t>
        </is>
      </c>
      <c r="F58" t="inlineStr">
        <is>
          <t>kg</t>
        </is>
      </c>
    </row>
    <row r="59">
      <c r="A59" t="inlineStr">
        <is>
          <t>High knees explosifs G</t>
        </is>
      </c>
      <c r="B59" t="inlineStr">
        <is>
          <t>FULL</t>
        </is>
      </c>
      <c r="F59" t="inlineStr">
        <is>
          <t>kg</t>
        </is>
      </c>
    </row>
    <row r="60">
      <c r="A60" t="inlineStr">
        <is>
          <t>Farmer Walk lourd</t>
        </is>
      </c>
      <c r="B60" t="inlineStr">
        <is>
          <t>FULL</t>
        </is>
      </c>
      <c r="F60" t="inlineStr">
        <is>
          <t>kg</t>
        </is>
      </c>
    </row>
    <row r="61">
      <c r="A61" t="inlineStr">
        <is>
          <t>Burpees</t>
        </is>
      </c>
      <c r="B61" t="inlineStr">
        <is>
          <t>FULL</t>
        </is>
      </c>
      <c r="F61" t="inlineStr">
        <is>
          <t>kg</t>
        </is>
      </c>
    </row>
    <row r="62">
      <c r="A62" t="inlineStr">
        <is>
          <t>Développé militaire au poids du corps</t>
        </is>
      </c>
      <c r="B62" t="inlineStr">
        <is>
          <t>FULL</t>
        </is>
      </c>
      <c r="F62" t="inlineStr">
        <is>
          <t>kg</t>
        </is>
      </c>
    </row>
    <row r="63">
      <c r="A63" t="inlineStr">
        <is>
          <t>Dips coréen</t>
        </is>
      </c>
      <c r="B63" t="inlineStr">
        <is>
          <t>FULL</t>
        </is>
      </c>
      <c r="F63" t="inlineStr">
        <is>
          <t>kg</t>
        </is>
      </c>
    </row>
    <row r="64">
      <c r="A64" t="inlineStr">
        <is>
          <t>Pompes inclinées pieds surélevés</t>
        </is>
      </c>
      <c r="B64" t="inlineStr">
        <is>
          <t>FULL</t>
        </is>
      </c>
      <c r="F64" t="inlineStr">
        <is>
          <t>kg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Category</t>
        </is>
      </c>
      <c r="C1" t="inlineStr">
        <is>
          <t>Unit</t>
        </is>
      </c>
      <c r="D1" t="inlineStr">
        <is>
          <t>RPE5</t>
        </is>
      </c>
      <c r="E1" t="inlineStr">
        <is>
          <t>RPE6</t>
        </is>
      </c>
      <c r="F1" t="inlineStr">
        <is>
          <t>RPE7</t>
        </is>
      </c>
      <c r="G1" t="inlineStr">
        <is>
          <t>RPE8</t>
        </is>
      </c>
      <c r="H1" t="inlineStr">
        <is>
          <t>RPE9</t>
        </is>
      </c>
      <c r="I1" t="inlineStr">
        <is>
          <t>RPE10</t>
        </is>
      </c>
    </row>
    <row r="2">
      <c r="A2" t="inlineStr">
        <is>
          <t>Front Squat (wedge)</t>
        </is>
      </c>
      <c r="B2" t="inlineStr">
        <is>
          <t>LEGS</t>
        </is>
      </c>
      <c r="C2" t="inlineStr">
        <is>
          <t>kg</t>
        </is>
      </c>
    </row>
    <row r="3">
      <c r="A3" t="inlineStr">
        <is>
          <t>Back Squat</t>
        </is>
      </c>
      <c r="B3" t="inlineStr">
        <is>
          <t>LEGS</t>
        </is>
      </c>
      <c r="C3" t="inlineStr">
        <is>
          <t>kg</t>
        </is>
      </c>
    </row>
    <row r="4">
      <c r="A4" t="inlineStr">
        <is>
          <t>Snatch Grip Deadlift (position haute)</t>
        </is>
      </c>
      <c r="B4" t="inlineStr">
        <is>
          <t>LEGS</t>
        </is>
      </c>
      <c r="C4" t="inlineStr">
        <is>
          <t>kg</t>
        </is>
      </c>
    </row>
    <row r="5">
      <c r="A5" t="inlineStr">
        <is>
          <t>Bulgarian Split Squat haltères</t>
        </is>
      </c>
      <c r="B5" t="inlineStr">
        <is>
          <t>LEGS</t>
        </is>
      </c>
      <c r="C5" t="inlineStr">
        <is>
          <t>kg</t>
        </is>
      </c>
    </row>
    <row r="6">
      <c r="A6" t="inlineStr">
        <is>
          <t>Hack Squat</t>
        </is>
      </c>
      <c r="B6" t="inlineStr">
        <is>
          <t>LEGS</t>
        </is>
      </c>
      <c r="C6" t="inlineStr">
        <is>
          <t>kg</t>
        </is>
      </c>
    </row>
    <row r="7">
      <c r="A7" t="inlineStr">
        <is>
          <t>Leg Press</t>
        </is>
      </c>
      <c r="B7" t="inlineStr">
        <is>
          <t>LEGS</t>
        </is>
      </c>
      <c r="C7" t="inlineStr">
        <is>
          <t>kg</t>
        </is>
      </c>
    </row>
    <row r="8">
      <c r="A8" t="inlineStr">
        <is>
          <t>Leg Extension (full stretch)</t>
        </is>
      </c>
      <c r="B8" t="inlineStr">
        <is>
          <t>LEGS</t>
        </is>
      </c>
      <c r="C8" t="inlineStr">
        <is>
          <t>kg</t>
        </is>
      </c>
    </row>
    <row r="9">
      <c r="A9" t="inlineStr">
        <is>
          <t>Leg Curl allongé</t>
        </is>
      </c>
      <c r="B9" t="inlineStr">
        <is>
          <t>LEGS</t>
        </is>
      </c>
      <c r="C9" t="inlineStr">
        <is>
          <t>kg</t>
        </is>
      </c>
    </row>
    <row r="10">
      <c r="A10" t="inlineStr">
        <is>
          <t>Leg Curl assis</t>
        </is>
      </c>
      <c r="B10" t="inlineStr">
        <is>
          <t>LEGS</t>
        </is>
      </c>
      <c r="C10" t="inlineStr">
        <is>
          <t>kg</t>
        </is>
      </c>
    </row>
    <row r="11">
      <c r="A11" t="inlineStr">
        <is>
          <t>Mollets debout</t>
        </is>
      </c>
      <c r="B11" t="inlineStr">
        <is>
          <t>LEGS</t>
        </is>
      </c>
      <c r="C11" t="inlineStr">
        <is>
          <t>kg</t>
        </is>
      </c>
    </row>
    <row r="12">
      <c r="A12" t="inlineStr">
        <is>
          <t>Mollets assis</t>
        </is>
      </c>
      <c r="B12" t="inlineStr">
        <is>
          <t>LEGS</t>
        </is>
      </c>
      <c r="C12" t="inlineStr">
        <is>
          <t>kg</t>
        </is>
      </c>
    </row>
    <row r="13">
      <c r="A13" t="inlineStr">
        <is>
          <t>Belt Squat</t>
        </is>
      </c>
      <c r="B13" t="inlineStr">
        <is>
          <t>LEGS</t>
        </is>
      </c>
      <c r="C13" t="inlineStr">
        <is>
          <t>kg</t>
        </is>
      </c>
    </row>
    <row r="14">
      <c r="A14" t="inlineStr">
        <is>
          <t>Romanian Deadlift (barre)</t>
        </is>
      </c>
      <c r="B14" t="inlineStr">
        <is>
          <t>LEGS</t>
        </is>
      </c>
      <c r="C14" t="inlineStr">
        <is>
          <t>kg</t>
        </is>
      </c>
    </row>
    <row r="15">
      <c r="A15" t="inlineStr">
        <is>
          <t>Hip Thrust barre</t>
        </is>
      </c>
      <c r="B15" t="inlineStr">
        <is>
          <t>LEGS</t>
        </is>
      </c>
      <c r="C15" t="inlineStr">
        <is>
          <t>kg</t>
        </is>
      </c>
    </row>
    <row r="16">
      <c r="A16" t="inlineStr">
        <is>
          <t>Cable Kickback</t>
        </is>
      </c>
      <c r="B16" t="inlineStr">
        <is>
          <t>LEGS</t>
        </is>
      </c>
      <c r="C16" t="inlineStr">
        <is>
          <t>kg</t>
        </is>
      </c>
    </row>
    <row r="17">
      <c r="A17" t="inlineStr">
        <is>
          <t>Abduction machine</t>
        </is>
      </c>
      <c r="B17" t="inlineStr">
        <is>
          <t>LEGS</t>
        </is>
      </c>
      <c r="C17" t="inlineStr">
        <is>
          <t>kg</t>
        </is>
      </c>
    </row>
    <row r="18">
      <c r="A18" t="inlineStr">
        <is>
          <t>Standing Hip Abduction</t>
        </is>
      </c>
      <c r="B18" t="inlineStr">
        <is>
          <t>LEGS</t>
        </is>
      </c>
      <c r="C18" t="inlineStr">
        <is>
          <t>kg</t>
        </is>
      </c>
    </row>
    <row r="19">
      <c r="A19" t="inlineStr">
        <is>
          <t>Développé couché barre / haltères</t>
        </is>
      </c>
      <c r="B19" t="inlineStr">
        <is>
          <t>PUSH</t>
        </is>
      </c>
      <c r="C19" t="inlineStr">
        <is>
          <t>kg</t>
        </is>
      </c>
    </row>
    <row r="20">
      <c r="A20" t="inlineStr">
        <is>
          <t>Développé militaire barre / haltères</t>
        </is>
      </c>
      <c r="B20" t="inlineStr">
        <is>
          <t>PUSH</t>
        </is>
      </c>
      <c r="C20" t="inlineStr">
        <is>
          <t>kg</t>
        </is>
      </c>
    </row>
    <row r="21">
      <c r="A21" t="inlineStr">
        <is>
          <t>Développé incliné batte / haltères</t>
        </is>
      </c>
      <c r="B21" t="inlineStr">
        <is>
          <t>PUSH</t>
        </is>
      </c>
      <c r="C21" t="inlineStr">
        <is>
          <t>kg</t>
        </is>
      </c>
    </row>
    <row r="22">
      <c r="A22" t="inlineStr">
        <is>
          <t>Développé Arnold</t>
        </is>
      </c>
      <c r="B22" t="inlineStr">
        <is>
          <t>PUSH</t>
        </is>
      </c>
      <c r="C22" t="inlineStr">
        <is>
          <t>kg</t>
        </is>
      </c>
    </row>
    <row r="23">
      <c r="A23" t="inlineStr">
        <is>
          <t>Kickbacks triceps</t>
        </is>
      </c>
      <c r="B23" t="inlineStr">
        <is>
          <t>PUSH</t>
        </is>
      </c>
      <c r="C23" t="inlineStr">
        <is>
          <t>kg</t>
        </is>
      </c>
    </row>
    <row r="24">
      <c r="A24" t="inlineStr">
        <is>
          <t>Pompes</t>
        </is>
      </c>
      <c r="B24" t="inlineStr">
        <is>
          <t>PUSH</t>
        </is>
      </c>
      <c r="C24" t="inlineStr">
        <is>
          <t>reps</t>
        </is>
      </c>
    </row>
    <row r="25">
      <c r="A25" t="inlineStr">
        <is>
          <t>Pompes lestées</t>
        </is>
      </c>
      <c r="B25" t="inlineStr">
        <is>
          <t>PUSH</t>
        </is>
      </c>
      <c r="C25" t="inlineStr">
        <is>
          <t>kg</t>
        </is>
      </c>
    </row>
    <row r="26">
      <c r="A26" t="inlineStr">
        <is>
          <t>Pompes diamants</t>
        </is>
      </c>
      <c r="B26" t="inlineStr">
        <is>
          <t>PUSH</t>
        </is>
      </c>
      <c r="C26" t="inlineStr">
        <is>
          <t>reps</t>
        </is>
      </c>
    </row>
    <row r="27">
      <c r="A27" t="inlineStr">
        <is>
          <t>Dips</t>
        </is>
      </c>
      <c r="B27" t="inlineStr">
        <is>
          <t>PUSH</t>
        </is>
      </c>
      <c r="C27" t="inlineStr">
        <is>
          <t>reps</t>
        </is>
      </c>
    </row>
    <row r="28">
      <c r="A28" t="inlineStr">
        <is>
          <t>Dips lestées</t>
        </is>
      </c>
      <c r="B28" t="inlineStr">
        <is>
          <t>PUSH</t>
        </is>
      </c>
      <c r="C28" t="inlineStr">
        <is>
          <t>kg</t>
        </is>
      </c>
    </row>
    <row r="29">
      <c r="A29" t="inlineStr">
        <is>
          <t>Chest-to-wall Hold</t>
        </is>
      </c>
      <c r="B29" t="inlineStr">
        <is>
          <t>PUSH</t>
        </is>
      </c>
      <c r="C29" t="inlineStr">
        <is>
          <t>sec</t>
        </is>
      </c>
    </row>
    <row r="30">
      <c r="A30" t="inlineStr">
        <is>
          <t>Handstand Hold</t>
        </is>
      </c>
      <c r="B30" t="inlineStr">
        <is>
          <t>PUSH</t>
        </is>
      </c>
      <c r="C30" t="inlineStr">
        <is>
          <t>sec</t>
        </is>
      </c>
    </row>
    <row r="31">
      <c r="A31" t="inlineStr">
        <is>
          <t>Pike push-up</t>
        </is>
      </c>
      <c r="B31" t="inlineStr">
        <is>
          <t>PUSH</t>
        </is>
      </c>
      <c r="C31" t="inlineStr">
        <is>
          <t>reps</t>
        </is>
      </c>
    </row>
    <row r="32">
      <c r="A32" t="inlineStr">
        <is>
          <t>HSPU Négative</t>
        </is>
      </c>
      <c r="B32" t="inlineStr">
        <is>
          <t>PUSH</t>
        </is>
      </c>
      <c r="C32" t="inlineStr">
        <is>
          <t>reps</t>
        </is>
      </c>
    </row>
    <row r="33">
      <c r="A33" t="inlineStr">
        <is>
          <t>HSPU partiels (mur)</t>
        </is>
      </c>
      <c r="B33" t="inlineStr">
        <is>
          <t>PUSH</t>
        </is>
      </c>
      <c r="C33" t="inlineStr">
        <is>
          <t>reps</t>
        </is>
      </c>
    </row>
    <row r="34">
      <c r="A34" t="inlineStr">
        <is>
          <t>HSPU</t>
        </is>
      </c>
      <c r="B34" t="inlineStr">
        <is>
          <t>PUSH</t>
        </is>
      </c>
      <c r="C34" t="inlineStr">
        <is>
          <t>reps</t>
        </is>
      </c>
    </row>
    <row r="35">
      <c r="A35" t="inlineStr">
        <is>
          <t>HSPU lestés</t>
        </is>
      </c>
      <c r="B35" t="inlineStr">
        <is>
          <t>PUSH</t>
        </is>
      </c>
      <c r="C35" t="inlineStr">
        <is>
          <t>kg</t>
        </is>
      </c>
    </row>
    <row r="36">
      <c r="A36" t="inlineStr">
        <is>
          <t>Écarté incliné à la poulie</t>
        </is>
      </c>
      <c r="B36" t="inlineStr">
        <is>
          <t>PUSH</t>
        </is>
      </c>
      <c r="C36" t="inlineStr">
        <is>
          <t>kg</t>
        </is>
      </c>
    </row>
    <row r="37">
      <c r="A37" t="inlineStr">
        <is>
          <t>Élévations latérales</t>
        </is>
      </c>
      <c r="B37" t="inlineStr">
        <is>
          <t>PUSH</t>
        </is>
      </c>
      <c r="C37" t="inlineStr">
        <is>
          <t>kg</t>
        </is>
      </c>
    </row>
    <row r="38">
      <c r="A38" t="inlineStr">
        <is>
          <t>Extension triceps poulie</t>
        </is>
      </c>
      <c r="B38" t="inlineStr">
        <is>
          <t>PUSH</t>
        </is>
      </c>
      <c r="C38" t="inlineStr">
        <is>
          <t>kg</t>
        </is>
      </c>
    </row>
    <row r="39">
      <c r="A39" t="inlineStr">
        <is>
          <t>Tractions</t>
        </is>
      </c>
      <c r="B39" t="inlineStr">
        <is>
          <t>PULL</t>
        </is>
      </c>
      <c r="C39" t="inlineStr">
        <is>
          <t>reps</t>
        </is>
      </c>
    </row>
    <row r="40">
      <c r="A40" t="inlineStr">
        <is>
          <t>Tractions lestées</t>
        </is>
      </c>
      <c r="B40" t="inlineStr">
        <is>
          <t>PULL</t>
        </is>
      </c>
      <c r="C40" t="inlineStr">
        <is>
          <t>kg</t>
        </is>
      </c>
    </row>
    <row r="41">
      <c r="A41" t="inlineStr">
        <is>
          <t>Muscle-up</t>
        </is>
      </c>
      <c r="B41" t="inlineStr">
        <is>
          <t>PULL</t>
        </is>
      </c>
      <c r="C41" t="inlineStr">
        <is>
          <t>reps</t>
        </is>
      </c>
    </row>
    <row r="42">
      <c r="A42" t="inlineStr">
        <is>
          <t>Muscles-up lestées</t>
        </is>
      </c>
      <c r="B42" t="inlineStr">
        <is>
          <t>PULL</t>
        </is>
      </c>
      <c r="C42" t="inlineStr">
        <is>
          <t>kg</t>
        </is>
      </c>
    </row>
    <row r="43">
      <c r="A43" t="inlineStr">
        <is>
          <t>Rowing barre pronation</t>
        </is>
      </c>
      <c r="B43" t="inlineStr">
        <is>
          <t>PULL</t>
        </is>
      </c>
      <c r="C43" t="inlineStr">
        <is>
          <t>kg</t>
        </is>
      </c>
    </row>
    <row r="44">
      <c r="A44" t="inlineStr">
        <is>
          <t>Rowing machine unilatérale</t>
        </is>
      </c>
      <c r="B44" t="inlineStr">
        <is>
          <t>PULL</t>
        </is>
      </c>
      <c r="C44" t="inlineStr">
        <is>
          <t>kg</t>
        </is>
      </c>
    </row>
    <row r="45">
      <c r="A45" t="inlineStr">
        <is>
          <t>Good Morning barre basse</t>
        </is>
      </c>
      <c r="B45" t="inlineStr">
        <is>
          <t>PULL</t>
        </is>
      </c>
      <c r="C45" t="inlineStr">
        <is>
          <t>kg</t>
        </is>
      </c>
    </row>
    <row r="46">
      <c r="A46" t="inlineStr">
        <is>
          <t>Tirage vertical poulie inversée</t>
        </is>
      </c>
      <c r="B46" t="inlineStr">
        <is>
          <t>PULL</t>
        </is>
      </c>
      <c r="C46" t="inlineStr">
        <is>
          <t>kg</t>
        </is>
      </c>
    </row>
    <row r="47">
      <c r="A47" t="inlineStr">
        <is>
          <t>Curl biceps haltères</t>
        </is>
      </c>
      <c r="B47" t="inlineStr">
        <is>
          <t>PULL</t>
        </is>
      </c>
      <c r="C47" t="inlineStr">
        <is>
          <t>kg</t>
        </is>
      </c>
    </row>
    <row r="48">
      <c r="A48" t="inlineStr">
        <is>
          <t>Curl marteau haltères</t>
        </is>
      </c>
      <c r="B48" t="inlineStr">
        <is>
          <t>PULL</t>
        </is>
      </c>
      <c r="C48" t="inlineStr">
        <is>
          <t>kg</t>
        </is>
      </c>
    </row>
    <row r="49">
      <c r="A49" t="inlineStr">
        <is>
          <t>Face Pulls</t>
        </is>
      </c>
      <c r="B49" t="inlineStr">
        <is>
          <t>PULL</t>
        </is>
      </c>
      <c r="C49" t="inlineStr">
        <is>
          <t>kg</t>
        </is>
      </c>
    </row>
    <row r="50">
      <c r="A50" t="inlineStr">
        <is>
          <t>Shrugs lourds</t>
        </is>
      </c>
      <c r="B50" t="inlineStr">
        <is>
          <t>PULL</t>
        </is>
      </c>
      <c r="C50" t="inlineStr">
        <is>
          <t>kg</t>
        </is>
      </c>
    </row>
    <row r="51">
      <c r="A51" t="inlineStr">
        <is>
          <t>OMAD</t>
        </is>
      </c>
      <c r="B51" t="inlineStr">
        <is>
          <t>PULL</t>
        </is>
      </c>
      <c r="C51" t="inlineStr">
        <is>
          <t>kg</t>
        </is>
      </c>
    </row>
    <row r="52">
      <c r="A52" t="inlineStr">
        <is>
          <t>Box Jump</t>
        </is>
      </c>
      <c r="B52" t="inlineStr">
        <is>
          <t>FULL</t>
        </is>
      </c>
      <c r="C52" t="inlineStr">
        <is>
          <t>kg</t>
        </is>
      </c>
    </row>
    <row r="53">
      <c r="A53" t="inlineStr">
        <is>
          <t>Tuck Jumps</t>
        </is>
      </c>
      <c r="B53" t="inlineStr">
        <is>
          <t>FULL</t>
        </is>
      </c>
      <c r="C53" t="inlineStr">
        <is>
          <t>kg</t>
        </is>
      </c>
    </row>
    <row r="54">
      <c r="A54" t="inlineStr">
        <is>
          <t>Pistol Squat D</t>
        </is>
      </c>
      <c r="B54" t="inlineStr">
        <is>
          <t>FULL</t>
        </is>
      </c>
      <c r="C54" t="inlineStr">
        <is>
          <t>kg</t>
        </is>
      </c>
    </row>
    <row r="55">
      <c r="A55" t="inlineStr">
        <is>
          <t>Pistol Squat G</t>
        </is>
      </c>
      <c r="B55" t="inlineStr">
        <is>
          <t>FULL</t>
        </is>
      </c>
      <c r="C55" t="inlineStr">
        <is>
          <t>kg</t>
        </is>
      </c>
    </row>
    <row r="56">
      <c r="A56" t="inlineStr">
        <is>
          <t>Step-up genou haut D</t>
        </is>
      </c>
      <c r="B56" t="inlineStr">
        <is>
          <t>FULL</t>
        </is>
      </c>
      <c r="C56" t="inlineStr">
        <is>
          <t>kg</t>
        </is>
      </c>
    </row>
    <row r="57">
      <c r="A57" t="inlineStr">
        <is>
          <t>Step-up genou haut G</t>
        </is>
      </c>
      <c r="B57" t="inlineStr">
        <is>
          <t>FULL</t>
        </is>
      </c>
      <c r="C57" t="inlineStr">
        <is>
          <t>kg</t>
        </is>
      </c>
    </row>
    <row r="58">
      <c r="A58" t="inlineStr">
        <is>
          <t>High knees explosifs D</t>
        </is>
      </c>
      <c r="B58" t="inlineStr">
        <is>
          <t>FULL</t>
        </is>
      </c>
      <c r="C58" t="inlineStr">
        <is>
          <t>kg</t>
        </is>
      </c>
    </row>
    <row r="59">
      <c r="A59" t="inlineStr">
        <is>
          <t>High knees explosifs G</t>
        </is>
      </c>
      <c r="B59" t="inlineStr">
        <is>
          <t>FULL</t>
        </is>
      </c>
      <c r="C59" t="inlineStr">
        <is>
          <t>kg</t>
        </is>
      </c>
    </row>
    <row r="60">
      <c r="A60" t="inlineStr">
        <is>
          <t>Farmer Walk lourd</t>
        </is>
      </c>
      <c r="B60" t="inlineStr">
        <is>
          <t>FULL</t>
        </is>
      </c>
      <c r="C60" t="inlineStr">
        <is>
          <t>kg</t>
        </is>
      </c>
    </row>
    <row r="61">
      <c r="A61" t="inlineStr">
        <is>
          <t>Burpees</t>
        </is>
      </c>
      <c r="B61" t="inlineStr">
        <is>
          <t>FULL</t>
        </is>
      </c>
      <c r="C61" t="inlineStr">
        <is>
          <t>kg</t>
        </is>
      </c>
    </row>
    <row r="62">
      <c r="A62" t="inlineStr">
        <is>
          <t>Développé militaire au poids du corps</t>
        </is>
      </c>
      <c r="B62" t="inlineStr">
        <is>
          <t>FULL</t>
        </is>
      </c>
      <c r="C62" t="inlineStr">
        <is>
          <t>kg</t>
        </is>
      </c>
    </row>
    <row r="63">
      <c r="A63" t="inlineStr">
        <is>
          <t>Dips coréen</t>
        </is>
      </c>
      <c r="B63" t="inlineStr">
        <is>
          <t>FULL</t>
        </is>
      </c>
      <c r="C63" t="inlineStr">
        <is>
          <t>kg</t>
        </is>
      </c>
    </row>
    <row r="64">
      <c r="A64" t="inlineStr">
        <is>
          <t>Pompes inclinées pieds surélevés</t>
        </is>
      </c>
      <c r="B64" t="inlineStr">
        <is>
          <t>FULL</t>
        </is>
      </c>
      <c r="C64" t="inlineStr">
        <is>
          <t>kg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Front Squat (wedge) (kg)</t>
        </is>
      </c>
      <c r="C1" t="inlineStr">
        <is>
          <t>Front Squat (wedge) (reps)</t>
        </is>
      </c>
      <c r="D1" t="inlineStr">
        <is>
          <t>Back Squat (kg)</t>
        </is>
      </c>
      <c r="E1" t="inlineStr">
        <is>
          <t>Back Squat (reps)</t>
        </is>
      </c>
      <c r="F1" t="inlineStr">
        <is>
          <t>Snatch Grip Deadlift (position haute) (kg)</t>
        </is>
      </c>
      <c r="G1" t="inlineStr">
        <is>
          <t>Snatch Grip Deadlift (position haute) (reps)</t>
        </is>
      </c>
      <c r="H1" t="inlineStr">
        <is>
          <t>Bulgarian Split Squat haltères (kg)</t>
        </is>
      </c>
      <c r="I1" t="inlineStr">
        <is>
          <t>Bulgarian Split Squat haltères (reps)</t>
        </is>
      </c>
      <c r="J1" t="inlineStr">
        <is>
          <t>Hack Squat (kg)</t>
        </is>
      </c>
      <c r="K1" t="inlineStr">
        <is>
          <t>Hack Squat (reps)</t>
        </is>
      </c>
      <c r="L1" t="inlineStr">
        <is>
          <t>Leg Press (kg)</t>
        </is>
      </c>
      <c r="M1" t="inlineStr">
        <is>
          <t>Leg Press (reps)</t>
        </is>
      </c>
      <c r="N1" t="inlineStr">
        <is>
          <t>Leg Extension (full stretch) (kg)</t>
        </is>
      </c>
      <c r="O1" t="inlineStr">
        <is>
          <t>Leg Extension (full stretch) (reps)</t>
        </is>
      </c>
      <c r="P1" t="inlineStr">
        <is>
          <t>Leg Curl allongé (kg)</t>
        </is>
      </c>
      <c r="Q1" t="inlineStr">
        <is>
          <t>Leg Curl allongé (reps)</t>
        </is>
      </c>
      <c r="R1" t="inlineStr">
        <is>
          <t>Leg Curl assis (kg)</t>
        </is>
      </c>
      <c r="S1" t="inlineStr">
        <is>
          <t>Leg Curl assis (reps)</t>
        </is>
      </c>
      <c r="T1" t="inlineStr">
        <is>
          <t>Mollets debout (kg)</t>
        </is>
      </c>
      <c r="U1" t="inlineStr">
        <is>
          <t>Mollets debout (reps)</t>
        </is>
      </c>
      <c r="V1" t="inlineStr">
        <is>
          <t>Mollets assis (kg)</t>
        </is>
      </c>
      <c r="W1" t="inlineStr">
        <is>
          <t>Mollets assis (reps)</t>
        </is>
      </c>
      <c r="X1" t="inlineStr">
        <is>
          <t>Belt Squat (kg)</t>
        </is>
      </c>
      <c r="Y1" t="inlineStr">
        <is>
          <t>Belt Squat (reps)</t>
        </is>
      </c>
      <c r="Z1" t="inlineStr">
        <is>
          <t>Romanian Deadlift (barre) (kg)</t>
        </is>
      </c>
      <c r="AA1" t="inlineStr">
        <is>
          <t>Romanian Deadlift (barre) (reps)</t>
        </is>
      </c>
      <c r="AB1" t="inlineStr">
        <is>
          <t>Hip Thrust barre (kg)</t>
        </is>
      </c>
      <c r="AC1" t="inlineStr">
        <is>
          <t>Hip Thrust barre (reps)</t>
        </is>
      </c>
      <c r="AD1" t="inlineStr">
        <is>
          <t>Cable Kickback (kg)</t>
        </is>
      </c>
      <c r="AE1" t="inlineStr">
        <is>
          <t>Cable Kickback (reps)</t>
        </is>
      </c>
      <c r="AF1" t="inlineStr">
        <is>
          <t>Abduction machine (kg)</t>
        </is>
      </c>
      <c r="AG1" t="inlineStr">
        <is>
          <t>Abduction machine (reps)</t>
        </is>
      </c>
      <c r="AH1" t="inlineStr">
        <is>
          <t>Standing Hip Abduction (kg)</t>
        </is>
      </c>
      <c r="AI1" t="inlineStr">
        <is>
          <t>Standing Hip Abduction (reps)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Développé couché barre / haltères (kg)</t>
        </is>
      </c>
      <c r="C1" t="inlineStr">
        <is>
          <t>Développé couché barre / haltères (reps)</t>
        </is>
      </c>
      <c r="D1" t="inlineStr">
        <is>
          <t>Développé militaire barre / haltères (kg)</t>
        </is>
      </c>
      <c r="E1" t="inlineStr">
        <is>
          <t>Développé militaire barre / haltères (reps)</t>
        </is>
      </c>
      <c r="F1" t="inlineStr">
        <is>
          <t>Développé incliné batte / haltères (kg)</t>
        </is>
      </c>
      <c r="G1" t="inlineStr">
        <is>
          <t>Développé incliné batte / haltères (reps)</t>
        </is>
      </c>
      <c r="H1" t="inlineStr">
        <is>
          <t>Développé Arnold (kg)</t>
        </is>
      </c>
      <c r="I1" t="inlineStr">
        <is>
          <t>Développé Arnold (reps)</t>
        </is>
      </c>
      <c r="J1" t="inlineStr">
        <is>
          <t>Kickbacks triceps (kg)</t>
        </is>
      </c>
      <c r="K1" t="inlineStr">
        <is>
          <t>Kickbacks triceps (reps)</t>
        </is>
      </c>
      <c r="L1" t="inlineStr">
        <is>
          <t>Pompes (reps)</t>
        </is>
      </c>
      <c r="M1" t="inlineStr">
        <is>
          <t>Pompes lestées (kg)</t>
        </is>
      </c>
      <c r="N1" t="inlineStr">
        <is>
          <t>Pompes lestées (reps)</t>
        </is>
      </c>
      <c r="O1" t="inlineStr">
        <is>
          <t>Pompes diamants (reps)</t>
        </is>
      </c>
      <c r="P1" t="inlineStr">
        <is>
          <t>Dips (reps)</t>
        </is>
      </c>
      <c r="Q1" t="inlineStr">
        <is>
          <t>Dips lestées (kg)</t>
        </is>
      </c>
      <c r="R1" t="inlineStr">
        <is>
          <t>Dips lestées (reps)</t>
        </is>
      </c>
      <c r="S1" t="inlineStr">
        <is>
          <t>Chest-to-wall Hold (sec)</t>
        </is>
      </c>
      <c r="T1" t="inlineStr">
        <is>
          <t>Handstand Hold (sec)</t>
        </is>
      </c>
      <c r="U1" t="inlineStr">
        <is>
          <t>Pike push-up (reps)</t>
        </is>
      </c>
      <c r="V1" t="inlineStr">
        <is>
          <t>HSPU Négative (reps)</t>
        </is>
      </c>
      <c r="W1" t="inlineStr">
        <is>
          <t>HSPU partiels (mur) (reps)</t>
        </is>
      </c>
      <c r="X1" t="inlineStr">
        <is>
          <t>HSPU (reps)</t>
        </is>
      </c>
      <c r="Y1" t="inlineStr">
        <is>
          <t>HSPU lestés (kg)</t>
        </is>
      </c>
      <c r="Z1" t="inlineStr">
        <is>
          <t>HSPU lestés (reps)</t>
        </is>
      </c>
      <c r="AA1" t="inlineStr">
        <is>
          <t>Écarté incliné à la poulie (kg)</t>
        </is>
      </c>
      <c r="AB1" t="inlineStr">
        <is>
          <t>Écarté incliné à la poulie (reps)</t>
        </is>
      </c>
      <c r="AC1" t="inlineStr">
        <is>
          <t>Élévations latérales (kg)</t>
        </is>
      </c>
      <c r="AD1" t="inlineStr">
        <is>
          <t>Élévations latérales (reps)</t>
        </is>
      </c>
      <c r="AE1" t="inlineStr">
        <is>
          <t>Extension triceps poulie (kg)</t>
        </is>
      </c>
      <c r="AF1" t="inlineStr">
        <is>
          <t>Extension triceps poulie (reps)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Tractions (reps)</t>
        </is>
      </c>
      <c r="C1" t="inlineStr">
        <is>
          <t>Tractions lestées (kg)</t>
        </is>
      </c>
      <c r="D1" t="inlineStr">
        <is>
          <t>Tractions lestées (reps)</t>
        </is>
      </c>
      <c r="E1" t="inlineStr">
        <is>
          <t>Muscle-up (reps)</t>
        </is>
      </c>
      <c r="F1" t="inlineStr">
        <is>
          <t>Muscles-up lestées (kg)</t>
        </is>
      </c>
      <c r="G1" t="inlineStr">
        <is>
          <t>Muscles-up lestées (reps)</t>
        </is>
      </c>
      <c r="H1" t="inlineStr">
        <is>
          <t>Rowing barre pronation (kg)</t>
        </is>
      </c>
      <c r="I1" t="inlineStr">
        <is>
          <t>Rowing barre pronation (reps)</t>
        </is>
      </c>
      <c r="J1" t="inlineStr">
        <is>
          <t>Rowing machine unilatérale (kg)</t>
        </is>
      </c>
      <c r="K1" t="inlineStr">
        <is>
          <t>Rowing machine unilatérale (reps)</t>
        </is>
      </c>
      <c r="L1" t="inlineStr">
        <is>
          <t>Good Morning barre basse (kg)</t>
        </is>
      </c>
      <c r="M1" t="inlineStr">
        <is>
          <t>Good Morning barre basse (reps)</t>
        </is>
      </c>
      <c r="N1" t="inlineStr">
        <is>
          <t>Tirage vertical poulie inversée (kg)</t>
        </is>
      </c>
      <c r="O1" t="inlineStr">
        <is>
          <t>Tirage vertical poulie inversée (reps)</t>
        </is>
      </c>
      <c r="P1" t="inlineStr">
        <is>
          <t>Curl biceps haltères (kg)</t>
        </is>
      </c>
      <c r="Q1" t="inlineStr">
        <is>
          <t>Curl biceps haltères (reps)</t>
        </is>
      </c>
      <c r="R1" t="inlineStr">
        <is>
          <t>Curl marteau haltères (kg)</t>
        </is>
      </c>
      <c r="S1" t="inlineStr">
        <is>
          <t>Curl marteau haltères (reps)</t>
        </is>
      </c>
      <c r="T1" t="inlineStr">
        <is>
          <t>Face Pulls (kg)</t>
        </is>
      </c>
      <c r="U1" t="inlineStr">
        <is>
          <t>Face Pulls (reps)</t>
        </is>
      </c>
      <c r="V1" t="inlineStr">
        <is>
          <t>Shrugs lourds (kg)</t>
        </is>
      </c>
      <c r="W1" t="inlineStr">
        <is>
          <t>Shrugs lourds (reps)</t>
        </is>
      </c>
      <c r="X1" t="inlineStr">
        <is>
          <t>OMAD (kg)</t>
        </is>
      </c>
      <c r="Y1" t="inlineStr">
        <is>
          <t>OMAD (reps)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Box Jump (kg)</t>
        </is>
      </c>
      <c r="C1" t="inlineStr">
        <is>
          <t>Box Jump (reps)</t>
        </is>
      </c>
      <c r="D1" t="inlineStr">
        <is>
          <t>Tuck Jumps (kg)</t>
        </is>
      </c>
      <c r="E1" t="inlineStr">
        <is>
          <t>Tuck Jumps (reps)</t>
        </is>
      </c>
      <c r="F1" t="inlineStr">
        <is>
          <t>Pistol Squat D (kg)</t>
        </is>
      </c>
      <c r="G1" t="inlineStr">
        <is>
          <t>Pistol Squat D (reps)</t>
        </is>
      </c>
      <c r="H1" t="inlineStr">
        <is>
          <t>Pistol Squat G (kg)</t>
        </is>
      </c>
      <c r="I1" t="inlineStr">
        <is>
          <t>Pistol Squat G (reps)</t>
        </is>
      </c>
      <c r="J1" t="inlineStr">
        <is>
          <t>Step-up genou haut D (kg)</t>
        </is>
      </c>
      <c r="K1" t="inlineStr">
        <is>
          <t>Step-up genou haut D (reps)</t>
        </is>
      </c>
      <c r="L1" t="inlineStr">
        <is>
          <t>Step-up genou haut G (kg)</t>
        </is>
      </c>
      <c r="M1" t="inlineStr">
        <is>
          <t>Step-up genou haut G (reps)</t>
        </is>
      </c>
      <c r="N1" t="inlineStr">
        <is>
          <t>High knees explosifs D (kg)</t>
        </is>
      </c>
      <c r="O1" t="inlineStr">
        <is>
          <t>High knees explosifs D (reps)</t>
        </is>
      </c>
      <c r="P1" t="inlineStr">
        <is>
          <t>High knees explosifs G (kg)</t>
        </is>
      </c>
      <c r="Q1" t="inlineStr">
        <is>
          <t>High knees explosifs G (reps)</t>
        </is>
      </c>
      <c r="R1" t="inlineStr">
        <is>
          <t>Farmer Walk lourd (kg)</t>
        </is>
      </c>
      <c r="S1" t="inlineStr">
        <is>
          <t>Burpees (kg)</t>
        </is>
      </c>
      <c r="T1" t="inlineStr">
        <is>
          <t>Burpees (reps)</t>
        </is>
      </c>
      <c r="U1" t="inlineStr">
        <is>
          <t>Développé militaire au poids du corps (kg)</t>
        </is>
      </c>
      <c r="V1" t="inlineStr">
        <is>
          <t>Développé militaire au poids du corps (reps)</t>
        </is>
      </c>
      <c r="W1" t="inlineStr">
        <is>
          <t>Dips coréen (kg)</t>
        </is>
      </c>
      <c r="X1" t="inlineStr">
        <is>
          <t>Dips coréen (reps)</t>
        </is>
      </c>
      <c r="Y1" t="inlineStr">
        <is>
          <t>Pompes inclinées pieds surélevés (kg)</t>
        </is>
      </c>
      <c r="Z1" t="inlineStr">
        <is>
          <t>Pompes inclinées pieds surélevés (reps)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2025-11-15T06:37:42Z</dcterms:created>
  <dcterms:modified xmlns:dcterms="http://purl.org/dc/terms/" xmlns:xsi="http://www.w3.org/2001/XMLSchema-instance" xsi:type="dcterms:W3CDTF">2025-11-15T06:37:42Z</dcterms:modified>
</cp:coreProperties>
</file>